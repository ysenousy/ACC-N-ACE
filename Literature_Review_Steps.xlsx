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 Work\Research Proposal Preparation\ACC-N-AEC\"/>
    </mc:Choice>
  </mc:AlternateContent>
  <xr:revisionPtr revIDLastSave="0" documentId="13_ncr:1_{44F7DE84-46DD-4F21-BC71-6FF871807AE1}" xr6:coauthVersionLast="47" xr6:coauthVersionMax="47" xr10:uidLastSave="{00000000-0000-0000-0000-000000000000}"/>
  <bookViews>
    <workbookView xWindow="-120" yWindow="-120" windowWidth="29040" windowHeight="15720" xr2:uid="{9351B7BA-3E9E-4136-8FB4-28E44B021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G4" i="1"/>
  <c r="F4" i="1"/>
  <c r="C59" i="1"/>
  <c r="C51" i="1"/>
  <c r="C43" i="1"/>
  <c r="C36" i="1"/>
  <c r="C29" i="1"/>
  <c r="C22" i="1"/>
  <c r="C15" i="1"/>
  <c r="C8" i="1"/>
  <c r="D8" i="1"/>
  <c r="D15" i="1"/>
  <c r="D22" i="1"/>
  <c r="D29" i="1"/>
  <c r="D36" i="1"/>
  <c r="D43" i="1"/>
</calcChain>
</file>

<file path=xl/sharedStrings.xml><?xml version="1.0" encoding="utf-8"?>
<sst xmlns="http://schemas.openxmlformats.org/spreadsheetml/2006/main" count="116" uniqueCount="26">
  <si>
    <t>Query</t>
  </si>
  <si>
    <t>Papers Found</t>
  </si>
  <si>
    <t>Papers Downloaded</t>
  </si>
  <si>
    <t>Scopus</t>
  </si>
  <si>
    <t>Web of Science</t>
  </si>
  <si>
    <t>IEEE Xplore</t>
  </si>
  <si>
    <t>Automated Compliance Checking (2022-2025) AND (BIM) OR (IFC)</t>
  </si>
  <si>
    <t>Automated Compliance Checking (2022-2025) AND (Ontology)</t>
  </si>
  <si>
    <t>Deep Search (GPT)</t>
  </si>
  <si>
    <t>Automated Compliance Checking (2022-2025) AND (Knowledge Graph)</t>
  </si>
  <si>
    <t>Automated Compliance Checking (2022-2025) AND (AEC)</t>
  </si>
  <si>
    <t>Automated Compliance Checking (2022-2025) AND (Natural Language Processing)</t>
  </si>
  <si>
    <t>Automated Compliance Checking (2022-2025) AND (rule-based)</t>
  </si>
  <si>
    <t>Source</t>
  </si>
  <si>
    <t>Cycle #1</t>
  </si>
  <si>
    <t>Cycle #3</t>
  </si>
  <si>
    <t>Cycle #4</t>
  </si>
  <si>
    <t>Cycle #5</t>
  </si>
  <si>
    <t>Cycle #6</t>
  </si>
  <si>
    <t>Cycle #7</t>
  </si>
  <si>
    <t>Cycle #8</t>
  </si>
  <si>
    <t>Column1</t>
  </si>
  <si>
    <t>Column2</t>
  </si>
  <si>
    <t>Column3</t>
  </si>
  <si>
    <t>Automated Compliance Checking (2022-2025) AND (Large Language Models)</t>
  </si>
  <si>
    <t>Automated Compliance Checking (2022-2025) AND (Artificial Intelligence) OR (AI)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</si>
</sst>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8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B08244-AD5B-4616-8FE4-DF142D109822}" name="Table2" displayName="Table2" ref="A3:D8" totalsRowCount="1" headerRowDxfId="79" dataDxfId="78">
  <autoFilter ref="A3:D7" xr:uid="{7EB08244-AD5B-4616-8FE4-DF142D109822}"/>
  <tableColumns count="4">
    <tableColumn id="1" xr3:uid="{54F86FF5-93F8-42A8-8A59-48CCF78C5160}" name="Source" dataDxfId="77" totalsRowDxfId="76"/>
    <tableColumn id="2" xr3:uid="{7BCC0694-8FCC-46A2-97DB-F7EA710B5DE1}" name="Query" dataDxfId="75" totalsRowDxfId="74"/>
    <tableColumn id="3" xr3:uid="{9C1C6B26-9C0D-4659-A1FD-7DEB0CE8A39B}" name="Papers Found" totalsRowFunction="sum" dataDxfId="73" totalsRowDxfId="72"/>
    <tableColumn id="4" xr3:uid="{A851C24C-3AD9-481E-BDD9-082B7546E685}" name="Papers Downloaded" totalsRowFunction="sum" dataDxfId="71" totalsRowDxfId="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ECBD6C-EFB4-477A-A531-A031AC50621B}" name="Table4" displayName="Table4" ref="A10:D15" totalsRowCount="1" headerRowDxfId="69" dataDxfId="68">
  <autoFilter ref="A10:D14" xr:uid="{FBECBD6C-EFB4-477A-A531-A031AC50621B}"/>
  <tableColumns count="4">
    <tableColumn id="1" xr3:uid="{87590065-0C1B-40CF-A5B0-A4624CADC198}" name="Source" dataDxfId="67" totalsRowDxfId="27"/>
    <tableColumn id="2" xr3:uid="{A4D8F03F-8B48-4620-985B-F7BF46AE48BE}" name="Query" dataDxfId="66" totalsRowDxfId="26"/>
    <tableColumn id="3" xr3:uid="{4E83321E-D07F-4318-8F20-8DA6E45D9775}" name="Papers Found" totalsRowFunction="sum" dataDxfId="65" totalsRowDxfId="25"/>
    <tableColumn id="4" xr3:uid="{0B9CFF6E-BDC8-40D7-8B76-3B1C678B12B7}" name="Papers Downloaded" totalsRowFunction="sum" dataDxfId="64" totalsRow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CB1F0A-B959-46A1-B536-CBA2E02C81AC}" name="Table5" displayName="Table5" ref="A17:D22" totalsRowCount="1" headerRowDxfId="63" dataDxfId="62">
  <autoFilter ref="A17:D21" xr:uid="{16CB1F0A-B959-46A1-B536-CBA2E02C81AC}"/>
  <tableColumns count="4">
    <tableColumn id="1" xr3:uid="{CD78C2B2-CFA9-4F62-8BDB-2FA286C8EBC3}" name="Source" dataDxfId="61" totalsRowDxfId="23"/>
    <tableColumn id="2" xr3:uid="{585A8275-A6C6-4634-8854-E68DBFF1BB7B}" name="Query" dataDxfId="60" totalsRowDxfId="22"/>
    <tableColumn id="3" xr3:uid="{CD1EBB10-910C-48EF-BCC5-1A8AFA23EE11}" name="Papers Found" totalsRowFunction="sum" dataDxfId="59" totalsRowDxfId="21"/>
    <tableColumn id="4" xr3:uid="{2E75D536-F219-4891-8248-22D278822FFC}" name="Papers Downloaded" totalsRowFunction="sum" dataDxfId="58" totalsRow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60C9A4-495C-48F4-AEF4-559F7414BA6D}" name="Table6" displayName="Table6" ref="A24:D29" totalsRowCount="1" headerRowDxfId="57" dataDxfId="56">
  <autoFilter ref="A24:D28" xr:uid="{2F60C9A4-495C-48F4-AEF4-559F7414BA6D}"/>
  <tableColumns count="4">
    <tableColumn id="1" xr3:uid="{74EC9FAA-6D8E-4F86-A39C-6C458D869AB9}" name="Source" dataDxfId="55" totalsRowDxfId="19"/>
    <tableColumn id="2" xr3:uid="{26FB85D6-70B9-412E-AA0D-B1922D1882DD}" name="Query" dataDxfId="54" totalsRowDxfId="18"/>
    <tableColumn id="3" xr3:uid="{3E93034A-E8B7-430C-9267-148CFCC6B152}" name="Papers Found" totalsRowFunction="sum" dataDxfId="53" totalsRowDxfId="17"/>
    <tableColumn id="4" xr3:uid="{A4EE8691-4FA4-41A4-9EF4-2499F2163BBD}" name="Papers Downloaded" totalsRowFunction="sum" dataDxfId="52" totalsRow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9048C0-499A-4734-B04E-D917519B3005}" name="Table7" displayName="Table7" ref="A31:D36" totalsRowCount="1" headerRowDxfId="51" dataDxfId="50">
  <autoFilter ref="A31:D35" xr:uid="{FC9048C0-499A-4734-B04E-D917519B3005}"/>
  <tableColumns count="4">
    <tableColumn id="1" xr3:uid="{EAA1D078-7060-414F-BF8C-3D9110ECC10F}" name="Source" dataDxfId="49" totalsRowDxfId="15"/>
    <tableColumn id="2" xr3:uid="{1ECFDFEA-E7B1-4E74-A399-FD3843278D3D}" name="Query" dataDxfId="48" totalsRowDxfId="14"/>
    <tableColumn id="3" xr3:uid="{140BD6E9-4B79-46BB-84F6-FB00CAB5585C}" name="Papers Found" totalsRowFunction="sum" dataDxfId="47" totalsRowDxfId="13"/>
    <tableColumn id="4" xr3:uid="{82495F08-6C23-43C7-8DB2-058E4275801C}" name="Papers Downloaded" totalsRowFunction="sum" dataDxfId="46" totalsRow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41C1A4-1FEA-4426-AC94-A43AAF2DB18B}" name="Table8" displayName="Table8" ref="A38:D43" totalsRowCount="1" headerRowDxfId="45" dataDxfId="44">
  <autoFilter ref="A38:D42" xr:uid="{C741C1A4-1FEA-4426-AC94-A43AAF2DB18B}"/>
  <tableColumns count="4">
    <tableColumn id="1" xr3:uid="{A750E5AF-D3D8-487C-94EC-37DBE79E3B4B}" name="Source" dataDxfId="43" totalsRowDxfId="11"/>
    <tableColumn id="2" xr3:uid="{53A65AF7-24AD-4642-A823-6DA5C2FC75D9}" name="Query" dataDxfId="42" totalsRowDxfId="10"/>
    <tableColumn id="3" xr3:uid="{79CF5179-B6D2-4A47-A807-293D3E8200EE}" name="Papers Found" totalsRowFunction="sum" dataDxfId="41" totalsRowDxfId="9"/>
    <tableColumn id="4" xr3:uid="{CCC5847B-3C59-4D01-A96E-A127BF7D58F8}" name="Papers Downloaded" totalsRowFunction="sum" dataDxfId="40" totalsRow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CC06B9-BCE3-408F-8C25-667B92BB0577}" name="Table3" displayName="Table3" ref="A45:D51" totalsRowCount="1" headerRowDxfId="39" dataDxfId="38">
  <autoFilter ref="A45:D50" xr:uid="{78CC06B9-BCE3-408F-8C25-667B92BB0577}"/>
  <tableColumns count="4">
    <tableColumn id="1" xr3:uid="{C61F2E5C-C3D0-4C9D-895D-3FE67342B20B}" name="Cycle #8" dataDxfId="37" totalsRowDxfId="7"/>
    <tableColumn id="2" xr3:uid="{BC8BA3A0-2B55-49D6-B935-F9EC7D5D6FB2}" name="Column1" dataDxfId="36" totalsRowDxfId="6"/>
    <tableColumn id="3" xr3:uid="{F90FB317-3515-49A0-8E35-44BDA0E9593B}" name="Column2" totalsRowFunction="sum" dataDxfId="35" totalsRowDxfId="5"/>
    <tableColumn id="4" xr3:uid="{EC43ED4A-DB6E-49A0-809E-F27ABE656C7A}" name="Column3" dataDxfId="34" totalsRow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AF0BF4D-4E34-4FDC-B0AB-23D189F64BF3}" name="Table310" displayName="Table310" ref="A53:D59" totalsRowCount="1" headerRowDxfId="33" dataDxfId="32">
  <autoFilter ref="A53:D58" xr:uid="{AAF0BF4D-4E34-4FDC-B0AB-23D189F64BF3}"/>
  <tableColumns count="4">
    <tableColumn id="1" xr3:uid="{FD7C59D1-48D2-4909-A3FB-7E632396BCBA}" name="Cycle #8" dataDxfId="31" totalsRowDxfId="3"/>
    <tableColumn id="2" xr3:uid="{879B8EB1-12A7-4645-908A-70D455FEC46F}" name="Column1" dataDxfId="30" totalsRowDxfId="2"/>
    <tableColumn id="3" xr3:uid="{B12A116C-2FAC-4A44-B2E0-29E268406053}" name="Column2" totalsRowFunction="sum" dataDxfId="29" totalsRowDxfId="1"/>
    <tableColumn id="4" xr3:uid="{1B116EA1-448F-4E51-BE13-3C701DF5A139}" name="Column3" dataDxfId="28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26FA-C3F3-4393-B036-B5536363ECB4}">
  <dimension ref="A2:I59"/>
  <sheetViews>
    <sheetView tabSelected="1" zoomScale="70" zoomScaleNormal="70" workbookViewId="0">
      <selection activeCell="H9" sqref="H9"/>
    </sheetView>
  </sheetViews>
  <sheetFormatPr defaultColWidth="30.5703125" defaultRowHeight="15" x14ac:dyDescent="0.25"/>
  <cols>
    <col min="2" max="2" width="102.7109375" bestFit="1" customWidth="1"/>
    <col min="4" max="4" width="0" hidden="1" customWidth="1"/>
  </cols>
  <sheetData>
    <row r="2" spans="1:9" ht="15.75" x14ac:dyDescent="0.25">
      <c r="A2" s="5" t="s">
        <v>14</v>
      </c>
      <c r="B2" s="5"/>
      <c r="C2" s="5"/>
      <c r="D2" s="5"/>
    </row>
    <row r="3" spans="1:9" ht="24" x14ac:dyDescent="0.4">
      <c r="A3" s="3" t="s">
        <v>13</v>
      </c>
      <c r="B3" s="4" t="s">
        <v>0</v>
      </c>
      <c r="C3" s="4" t="s">
        <v>1</v>
      </c>
      <c r="D3" s="4" t="s">
        <v>2</v>
      </c>
      <c r="F3" s="6" t="s">
        <v>3</v>
      </c>
      <c r="G3" s="6" t="s">
        <v>4</v>
      </c>
      <c r="H3" s="6" t="s">
        <v>5</v>
      </c>
      <c r="I3" s="6" t="s">
        <v>8</v>
      </c>
    </row>
    <row r="4" spans="1:9" ht="21" x14ac:dyDescent="0.35">
      <c r="A4" s="2" t="s">
        <v>3</v>
      </c>
      <c r="B4" s="2" t="s">
        <v>10</v>
      </c>
      <c r="C4" s="2">
        <v>21</v>
      </c>
      <c r="D4" s="2">
        <v>0</v>
      </c>
      <c r="F4" s="7">
        <f>Table2[[#This Row],[Papers Found]]+C11+C18+C25+C32+C39+C47</f>
        <v>268</v>
      </c>
      <c r="G4" s="7">
        <f>C5+C12+C19+C26+C33+C40+C48</f>
        <v>174</v>
      </c>
      <c r="H4" s="7">
        <f>C6+C13+C20+C27+C34+C41+C49</f>
        <v>21</v>
      </c>
      <c r="I4" s="7">
        <f>C7+C14+C21+C28+C35+C42+C50</f>
        <v>71</v>
      </c>
    </row>
    <row r="5" spans="1:9" x14ac:dyDescent="0.25">
      <c r="A5" s="2" t="s">
        <v>4</v>
      </c>
      <c r="B5" s="2" t="s">
        <v>10</v>
      </c>
      <c r="C5" s="2">
        <v>11</v>
      </c>
      <c r="D5" s="2">
        <v>0</v>
      </c>
    </row>
    <row r="6" spans="1:9" x14ac:dyDescent="0.25">
      <c r="A6" s="2" t="s">
        <v>5</v>
      </c>
      <c r="B6" s="2" t="s">
        <v>10</v>
      </c>
      <c r="C6" s="2">
        <v>2</v>
      </c>
      <c r="D6" s="2">
        <v>0</v>
      </c>
    </row>
    <row r="7" spans="1:9" x14ac:dyDescent="0.25">
      <c r="A7" s="2" t="s">
        <v>8</v>
      </c>
      <c r="B7" s="2" t="s">
        <v>10</v>
      </c>
      <c r="C7" s="2">
        <v>11</v>
      </c>
      <c r="D7" s="2">
        <v>0</v>
      </c>
    </row>
    <row r="8" spans="1:9" x14ac:dyDescent="0.25">
      <c r="A8" s="2"/>
      <c r="B8" s="2"/>
      <c r="C8" s="2">
        <f>SUBTOTAL(109,Table2[Papers Found])</f>
        <v>45</v>
      </c>
      <c r="D8" s="2">
        <f>SUBTOTAL(109,Table2[Papers Downloaded])</f>
        <v>0</v>
      </c>
    </row>
    <row r="9" spans="1:9" ht="15.75" x14ac:dyDescent="0.25">
      <c r="A9" s="5" t="s">
        <v>14</v>
      </c>
      <c r="B9" s="5"/>
      <c r="C9" s="5"/>
      <c r="D9" s="5"/>
    </row>
    <row r="10" spans="1:9" x14ac:dyDescent="0.25">
      <c r="A10" s="2" t="s">
        <v>13</v>
      </c>
      <c r="B10" s="2" t="s">
        <v>0</v>
      </c>
      <c r="C10" s="2" t="s">
        <v>1</v>
      </c>
      <c r="D10" s="2" t="s">
        <v>2</v>
      </c>
    </row>
    <row r="11" spans="1:9" x14ac:dyDescent="0.25">
      <c r="A11" s="2" t="s">
        <v>3</v>
      </c>
      <c r="B11" s="2" t="s">
        <v>11</v>
      </c>
      <c r="C11" s="2">
        <v>42</v>
      </c>
      <c r="D11" s="2">
        <v>10</v>
      </c>
    </row>
    <row r="12" spans="1:9" x14ac:dyDescent="0.25">
      <c r="A12" s="2" t="s">
        <v>4</v>
      </c>
      <c r="B12" s="2" t="s">
        <v>11</v>
      </c>
      <c r="C12" s="2">
        <v>22</v>
      </c>
      <c r="D12" s="2">
        <v>5</v>
      </c>
    </row>
    <row r="13" spans="1:9" x14ac:dyDescent="0.25">
      <c r="A13" s="2" t="s">
        <v>5</v>
      </c>
      <c r="B13" s="2" t="s">
        <v>11</v>
      </c>
      <c r="C13" s="2">
        <v>16</v>
      </c>
      <c r="D13" s="2">
        <v>1</v>
      </c>
    </row>
    <row r="14" spans="1:9" x14ac:dyDescent="0.25">
      <c r="A14" s="2" t="s">
        <v>8</v>
      </c>
      <c r="B14" s="2" t="s">
        <v>11</v>
      </c>
      <c r="C14" s="2">
        <v>10</v>
      </c>
      <c r="D14" s="2">
        <v>2</v>
      </c>
    </row>
    <row r="15" spans="1:9" x14ac:dyDescent="0.25">
      <c r="A15" s="2"/>
      <c r="B15" s="2"/>
      <c r="C15" s="2">
        <f>SUBTOTAL(109,Table4[Papers Found])</f>
        <v>90</v>
      </c>
      <c r="D15" s="2">
        <f>SUBTOTAL(109,Table4[Papers Downloaded])</f>
        <v>18</v>
      </c>
    </row>
    <row r="16" spans="1:9" ht="15.75" x14ac:dyDescent="0.25">
      <c r="A16" s="5" t="s">
        <v>15</v>
      </c>
      <c r="B16" s="5"/>
      <c r="C16" s="5"/>
      <c r="D16" s="5"/>
    </row>
    <row r="17" spans="1:4" x14ac:dyDescent="0.25">
      <c r="A17" s="2" t="s">
        <v>13</v>
      </c>
      <c r="B17" s="2" t="s">
        <v>0</v>
      </c>
      <c r="C17" s="2" t="s">
        <v>1</v>
      </c>
      <c r="D17" s="2" t="s">
        <v>2</v>
      </c>
    </row>
    <row r="18" spans="1:4" x14ac:dyDescent="0.25">
      <c r="A18" s="2" t="s">
        <v>3</v>
      </c>
      <c r="B18" s="2" t="s">
        <v>6</v>
      </c>
      <c r="C18" s="2">
        <v>78</v>
      </c>
      <c r="D18" s="2">
        <v>12</v>
      </c>
    </row>
    <row r="19" spans="1:4" x14ac:dyDescent="0.25">
      <c r="A19" s="2" t="s">
        <v>4</v>
      </c>
      <c r="B19" s="2" t="s">
        <v>6</v>
      </c>
      <c r="C19" s="2">
        <v>51</v>
      </c>
      <c r="D19" s="2">
        <v>5</v>
      </c>
    </row>
    <row r="20" spans="1:4" x14ac:dyDescent="0.25">
      <c r="A20" s="2" t="s">
        <v>5</v>
      </c>
      <c r="B20" s="2" t="s">
        <v>6</v>
      </c>
      <c r="C20" s="2">
        <v>1</v>
      </c>
      <c r="D20" s="2">
        <v>3</v>
      </c>
    </row>
    <row r="21" spans="1:4" x14ac:dyDescent="0.25">
      <c r="A21" s="2" t="s">
        <v>8</v>
      </c>
      <c r="B21" s="2" t="s">
        <v>6</v>
      </c>
      <c r="C21" s="2">
        <v>10</v>
      </c>
      <c r="D21" s="2">
        <v>1</v>
      </c>
    </row>
    <row r="22" spans="1:4" x14ac:dyDescent="0.25">
      <c r="A22" s="2"/>
      <c r="B22" s="2"/>
      <c r="C22" s="2">
        <f>SUBTOTAL(109,Table5[Papers Found])</f>
        <v>140</v>
      </c>
      <c r="D22" s="2">
        <f>SUBTOTAL(109,Table5[Papers Downloaded])</f>
        <v>21</v>
      </c>
    </row>
    <row r="23" spans="1:4" ht="15.75" x14ac:dyDescent="0.25">
      <c r="A23" s="5" t="s">
        <v>16</v>
      </c>
      <c r="B23" s="5"/>
      <c r="C23" s="5"/>
      <c r="D23" s="5"/>
    </row>
    <row r="24" spans="1:4" x14ac:dyDescent="0.25">
      <c r="A24" s="2" t="s">
        <v>13</v>
      </c>
      <c r="B24" s="2" t="s">
        <v>0</v>
      </c>
      <c r="C24" s="2" t="s">
        <v>1</v>
      </c>
      <c r="D24" s="2" t="s">
        <v>2</v>
      </c>
    </row>
    <row r="25" spans="1:4" x14ac:dyDescent="0.25">
      <c r="A25" s="2" t="s">
        <v>3</v>
      </c>
      <c r="B25" s="2" t="s">
        <v>12</v>
      </c>
      <c r="C25" s="2">
        <v>55</v>
      </c>
      <c r="D25" s="2">
        <v>5</v>
      </c>
    </row>
    <row r="26" spans="1:4" x14ac:dyDescent="0.25">
      <c r="A26" s="2" t="s">
        <v>4</v>
      </c>
      <c r="B26" s="2" t="s">
        <v>12</v>
      </c>
      <c r="C26" s="2">
        <v>35</v>
      </c>
      <c r="D26" s="2">
        <v>1</v>
      </c>
    </row>
    <row r="27" spans="1:4" x14ac:dyDescent="0.25">
      <c r="A27" s="2" t="s">
        <v>5</v>
      </c>
      <c r="B27" s="2" t="s">
        <v>12</v>
      </c>
      <c r="C27" s="2">
        <v>0</v>
      </c>
      <c r="D27" s="2">
        <v>3</v>
      </c>
    </row>
    <row r="28" spans="1:4" x14ac:dyDescent="0.25">
      <c r="A28" s="2" t="s">
        <v>8</v>
      </c>
      <c r="B28" s="2" t="s">
        <v>12</v>
      </c>
      <c r="C28" s="2">
        <v>12</v>
      </c>
      <c r="D28" s="2">
        <v>1</v>
      </c>
    </row>
    <row r="29" spans="1:4" x14ac:dyDescent="0.25">
      <c r="A29" s="2"/>
      <c r="B29" s="2"/>
      <c r="C29" s="2">
        <f>SUBTOTAL(109,Table6[Papers Found])</f>
        <v>102</v>
      </c>
      <c r="D29" s="2">
        <f>SUBTOTAL(109,Table6[Papers Downloaded])</f>
        <v>10</v>
      </c>
    </row>
    <row r="30" spans="1:4" ht="15.75" x14ac:dyDescent="0.25">
      <c r="A30" s="5" t="s">
        <v>17</v>
      </c>
      <c r="B30" s="5"/>
      <c r="C30" s="5"/>
      <c r="D30" s="5"/>
    </row>
    <row r="31" spans="1:4" x14ac:dyDescent="0.25">
      <c r="A31" s="2" t="s">
        <v>13</v>
      </c>
      <c r="B31" s="2" t="s">
        <v>0</v>
      </c>
      <c r="C31" s="2" t="s">
        <v>1</v>
      </c>
      <c r="D31" s="2" t="s">
        <v>2</v>
      </c>
    </row>
    <row r="32" spans="1:4" x14ac:dyDescent="0.25">
      <c r="A32" s="2" t="s">
        <v>3</v>
      </c>
      <c r="B32" s="2" t="s">
        <v>7</v>
      </c>
      <c r="C32" s="2">
        <v>28</v>
      </c>
      <c r="D32" s="2">
        <v>3</v>
      </c>
    </row>
    <row r="33" spans="1:4" x14ac:dyDescent="0.25">
      <c r="A33" s="2" t="s">
        <v>4</v>
      </c>
      <c r="B33" s="2" t="s">
        <v>7</v>
      </c>
      <c r="C33" s="2">
        <v>17</v>
      </c>
      <c r="D33" s="2">
        <v>2</v>
      </c>
    </row>
    <row r="34" spans="1:4" x14ac:dyDescent="0.25">
      <c r="A34" s="2" t="s">
        <v>5</v>
      </c>
      <c r="B34" s="2" t="s">
        <v>7</v>
      </c>
      <c r="C34" s="2">
        <v>0</v>
      </c>
      <c r="D34" s="2">
        <v>0</v>
      </c>
    </row>
    <row r="35" spans="1:4" x14ac:dyDescent="0.25">
      <c r="A35" s="2" t="s">
        <v>8</v>
      </c>
      <c r="B35" s="2" t="s">
        <v>7</v>
      </c>
      <c r="C35" s="2">
        <v>12</v>
      </c>
      <c r="D35" s="2">
        <v>0</v>
      </c>
    </row>
    <row r="36" spans="1:4" x14ac:dyDescent="0.25">
      <c r="A36" s="2"/>
      <c r="B36" s="2"/>
      <c r="C36" s="2">
        <f>SUBTOTAL(109,Table7[Papers Found])</f>
        <v>57</v>
      </c>
      <c r="D36" s="2">
        <f>SUBTOTAL(109,Table7[Papers Downloaded])</f>
        <v>5</v>
      </c>
    </row>
    <row r="37" spans="1:4" ht="15.75" x14ac:dyDescent="0.25">
      <c r="A37" s="5" t="s">
        <v>18</v>
      </c>
      <c r="B37" s="5"/>
      <c r="C37" s="5"/>
      <c r="D37" s="5"/>
    </row>
    <row r="38" spans="1:4" x14ac:dyDescent="0.25">
      <c r="A38" s="2" t="s">
        <v>13</v>
      </c>
      <c r="B38" s="2" t="s">
        <v>0</v>
      </c>
      <c r="C38" s="2" t="s">
        <v>1</v>
      </c>
      <c r="D38" s="2" t="s">
        <v>2</v>
      </c>
    </row>
    <row r="39" spans="1:4" x14ac:dyDescent="0.25">
      <c r="A39" s="2" t="s">
        <v>3</v>
      </c>
      <c r="B39" s="2" t="s">
        <v>9</v>
      </c>
      <c r="C39" s="2">
        <v>20</v>
      </c>
      <c r="D39" s="2">
        <v>1</v>
      </c>
    </row>
    <row r="40" spans="1:4" x14ac:dyDescent="0.25">
      <c r="A40" s="2" t="s">
        <v>4</v>
      </c>
      <c r="B40" s="2" t="s">
        <v>9</v>
      </c>
      <c r="C40" s="2">
        <v>14</v>
      </c>
      <c r="D40" s="2">
        <v>0</v>
      </c>
    </row>
    <row r="41" spans="1:4" x14ac:dyDescent="0.25">
      <c r="A41" s="2" t="s">
        <v>5</v>
      </c>
      <c r="B41" s="2" t="s">
        <v>9</v>
      </c>
      <c r="C41" s="2">
        <v>0</v>
      </c>
      <c r="D41" s="2">
        <v>0</v>
      </c>
    </row>
    <row r="42" spans="1:4" x14ac:dyDescent="0.25">
      <c r="A42" s="2" t="s">
        <v>8</v>
      </c>
      <c r="B42" s="2" t="s">
        <v>9</v>
      </c>
      <c r="C42" s="2">
        <v>6</v>
      </c>
      <c r="D42" s="2">
        <v>0</v>
      </c>
    </row>
    <row r="43" spans="1:4" x14ac:dyDescent="0.25">
      <c r="A43" s="2"/>
      <c r="B43" s="2"/>
      <c r="C43" s="2">
        <f>SUBTOTAL(109,Table8[Papers Found])</f>
        <v>40</v>
      </c>
      <c r="D43" s="2">
        <f>SUBTOTAL(109,Table8[Papers Downloaded])</f>
        <v>1</v>
      </c>
    </row>
    <row r="44" spans="1:4" ht="15.75" x14ac:dyDescent="0.25">
      <c r="A44" s="5" t="s">
        <v>19</v>
      </c>
      <c r="B44" s="5"/>
      <c r="C44" s="5"/>
      <c r="D44" s="5"/>
    </row>
    <row r="45" spans="1:4" ht="15.75" x14ac:dyDescent="0.25">
      <c r="A45" s="1" t="s">
        <v>20</v>
      </c>
      <c r="B45" s="1" t="s">
        <v>21</v>
      </c>
      <c r="C45" s="1" t="s">
        <v>22</v>
      </c>
      <c r="D45" s="1" t="s">
        <v>23</v>
      </c>
    </row>
    <row r="46" spans="1:4" x14ac:dyDescent="0.25">
      <c r="A46" s="2" t="s">
        <v>13</v>
      </c>
      <c r="B46" s="2" t="s">
        <v>0</v>
      </c>
      <c r="C46" s="2" t="s">
        <v>1</v>
      </c>
      <c r="D46" s="2" t="s">
        <v>2</v>
      </c>
    </row>
    <row r="47" spans="1:4" x14ac:dyDescent="0.25">
      <c r="A47" s="2" t="s">
        <v>3</v>
      </c>
      <c r="B47" s="2" t="s">
        <v>24</v>
      </c>
      <c r="C47" s="2">
        <v>24</v>
      </c>
      <c r="D47" s="2">
        <v>1</v>
      </c>
    </row>
    <row r="48" spans="1:4" x14ac:dyDescent="0.25">
      <c r="A48" s="2" t="s">
        <v>4</v>
      </c>
      <c r="B48" s="2" t="s">
        <v>24</v>
      </c>
      <c r="C48" s="2">
        <v>24</v>
      </c>
      <c r="D48" s="2">
        <v>0</v>
      </c>
    </row>
    <row r="49" spans="1:4" x14ac:dyDescent="0.25">
      <c r="A49" s="2" t="s">
        <v>5</v>
      </c>
      <c r="B49" s="2" t="s">
        <v>24</v>
      </c>
      <c r="C49" s="2">
        <v>2</v>
      </c>
      <c r="D49" s="2">
        <v>0</v>
      </c>
    </row>
    <row r="50" spans="1:4" x14ac:dyDescent="0.25">
      <c r="A50" s="2" t="s">
        <v>8</v>
      </c>
      <c r="B50" s="2" t="s">
        <v>24</v>
      </c>
      <c r="C50" s="2">
        <v>10</v>
      </c>
      <c r="D50" s="2">
        <v>0</v>
      </c>
    </row>
    <row r="51" spans="1:4" x14ac:dyDescent="0.25">
      <c r="A51" s="2"/>
      <c r="B51" s="2"/>
      <c r="C51" s="2">
        <f>SUBTOTAL(109,Table3[Column2])</f>
        <v>60</v>
      </c>
      <c r="D51" s="2"/>
    </row>
    <row r="52" spans="1:4" ht="15.75" x14ac:dyDescent="0.25">
      <c r="A52" s="5" t="s">
        <v>20</v>
      </c>
      <c r="B52" s="5"/>
      <c r="C52" s="5"/>
      <c r="D52" s="5"/>
    </row>
    <row r="53" spans="1:4" ht="15.75" x14ac:dyDescent="0.25">
      <c r="A53" s="1" t="s">
        <v>20</v>
      </c>
      <c r="B53" s="1" t="s">
        <v>21</v>
      </c>
      <c r="C53" s="1" t="s">
        <v>22</v>
      </c>
      <c r="D53" s="1" t="s">
        <v>23</v>
      </c>
    </row>
    <row r="54" spans="1:4" x14ac:dyDescent="0.25">
      <c r="A54" s="2" t="s">
        <v>13</v>
      </c>
      <c r="B54" s="2" t="s">
        <v>0</v>
      </c>
      <c r="C54" s="2" t="s">
        <v>1</v>
      </c>
      <c r="D54" s="2" t="s">
        <v>2</v>
      </c>
    </row>
    <row r="55" spans="1:4" x14ac:dyDescent="0.25">
      <c r="A55" s="2" t="s">
        <v>3</v>
      </c>
      <c r="B55" s="2" t="s">
        <v>25</v>
      </c>
      <c r="C55" s="2">
        <v>62</v>
      </c>
      <c r="D55" s="2">
        <v>1</v>
      </c>
    </row>
    <row r="56" spans="1:4" x14ac:dyDescent="0.25">
      <c r="A56" s="2" t="s">
        <v>4</v>
      </c>
      <c r="B56" s="2" t="s">
        <v>25</v>
      </c>
      <c r="C56" s="2">
        <v>25</v>
      </c>
      <c r="D56" s="2">
        <v>0</v>
      </c>
    </row>
    <row r="57" spans="1:4" x14ac:dyDescent="0.25">
      <c r="A57" s="2" t="s">
        <v>5</v>
      </c>
      <c r="B57" s="2" t="s">
        <v>25</v>
      </c>
      <c r="C57" s="2">
        <v>0</v>
      </c>
      <c r="D57" s="2">
        <v>0</v>
      </c>
    </row>
    <row r="58" spans="1:4" x14ac:dyDescent="0.25">
      <c r="A58" s="2" t="s">
        <v>8</v>
      </c>
      <c r="B58" s="2" t="s">
        <v>25</v>
      </c>
      <c r="C58" s="2">
        <v>10</v>
      </c>
      <c r="D58" s="2">
        <v>0</v>
      </c>
    </row>
    <row r="59" spans="1:4" x14ac:dyDescent="0.25">
      <c r="A59" s="2"/>
      <c r="B59" s="2"/>
      <c r="C59" s="2">
        <f>SUBTOTAL(109,Table310[Column2])</f>
        <v>97</v>
      </c>
      <c r="D59" s="2"/>
    </row>
  </sheetData>
  <mergeCells count="8">
    <mergeCell ref="A44:D44"/>
    <mergeCell ref="A52:D52"/>
    <mergeCell ref="A37:D37"/>
    <mergeCell ref="A2:D2"/>
    <mergeCell ref="A9:D9"/>
    <mergeCell ref="A16:D16"/>
    <mergeCell ref="A30:D30"/>
    <mergeCell ref="A23:D23"/>
  </mergeCells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2CDD521DA52C4FB69518175D315C63" ma:contentTypeVersion="14" ma:contentTypeDescription="Create a new document." ma:contentTypeScope="" ma:versionID="9e2fe16f053e25eeb6b1d0ff50635136">
  <xsd:schema xmlns:xsd="http://www.w3.org/2001/XMLSchema" xmlns:xs="http://www.w3.org/2001/XMLSchema" xmlns:p="http://schemas.microsoft.com/office/2006/metadata/properties" xmlns:ns3="c6a757cc-d7fb-4c83-ba4a-7d367d381b3b" xmlns:ns4="0dd284ef-65c5-4928-bd82-f7569169408d" targetNamespace="http://schemas.microsoft.com/office/2006/metadata/properties" ma:root="true" ma:fieldsID="49e2981f28b72c76923f9359cdb5d370" ns3:_="" ns4:_="">
    <xsd:import namespace="c6a757cc-d7fb-4c83-ba4a-7d367d381b3b"/>
    <xsd:import namespace="0dd284ef-65c5-4928-bd82-f7569169408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757cc-d7fb-4c83-ba4a-7d367d381b3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284ef-65c5-4928-bd82-f756916940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a757cc-d7fb-4c83-ba4a-7d367d381b3b" xsi:nil="true"/>
  </documentManagement>
</p:properties>
</file>

<file path=customXml/itemProps1.xml><?xml version="1.0" encoding="utf-8"?>
<ds:datastoreItem xmlns:ds="http://schemas.openxmlformats.org/officeDocument/2006/customXml" ds:itemID="{B96D7295-C4B9-4972-944A-4318AF37C8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817A63-16A8-4629-85B1-1B89ED584C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a757cc-d7fb-4c83-ba4a-7d367d381b3b"/>
    <ds:schemaRef ds:uri="0dd284ef-65c5-4928-bd82-f756916940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EC0C38-B006-4162-A243-02302726248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dd284ef-65c5-4928-bd82-f7569169408d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c6a757cc-d7fb-4c83-ba4a-7d367d381b3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Senousy</dc:creator>
  <cp:lastModifiedBy>Youssef Senousy</cp:lastModifiedBy>
  <dcterms:created xsi:type="dcterms:W3CDTF">2025-06-30T09:23:18Z</dcterms:created>
  <dcterms:modified xsi:type="dcterms:W3CDTF">2025-07-29T15:05:13Z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0x010100D92CDD521DA52C4FB69518175D315C63</vt:lpwstr>
  </property>
</Properties>
</file>