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Research Work\Research Proposal Preparation\ACC-N-AEC\"/>
    </mc:Choice>
  </mc:AlternateContent>
  <xr:revisionPtr revIDLastSave="0" documentId="13_ncr:1_{26C441B9-8BD4-4D3F-ABBC-137202CACA40}"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3" i="1" s="1"/>
  <c r="A14" i="1" s="1"/>
  <c r="A16" i="1" s="1"/>
  <c r="A17" i="1" s="1"/>
  <c r="A18" i="1" s="1"/>
  <c r="A19" i="1" s="1"/>
  <c r="A21" i="1" s="1"/>
  <c r="A22" i="1" s="1"/>
  <c r="A23" i="1" s="1"/>
  <c r="A24" i="1" s="1"/>
  <c r="A25" i="1" s="1"/>
  <c r="A26" i="1" s="1"/>
  <c r="A27" i="1" s="1"/>
  <c r="A28" i="1" s="1"/>
  <c r="A29" i="1" s="1"/>
  <c r="A30" i="1" s="1"/>
  <c r="A31" i="1" s="1"/>
  <c r="A32" i="1" s="1"/>
  <c r="A33" i="1" s="1"/>
  <c r="A34" i="1" s="1"/>
</calcChain>
</file>

<file path=xl/sharedStrings.xml><?xml version="1.0" encoding="utf-8"?>
<sst xmlns="http://schemas.openxmlformats.org/spreadsheetml/2006/main" count="393" uniqueCount="355">
  <si>
    <t>#</t>
  </si>
  <si>
    <t>Citation</t>
  </si>
  <si>
    <t>Goal</t>
  </si>
  <si>
    <t>Method</t>
  </si>
  <si>
    <t>Tools</t>
  </si>
  <si>
    <t>Domain</t>
  </si>
  <si>
    <t>Contributions</t>
  </si>
  <si>
    <t>Limitations</t>
  </si>
  <si>
    <t xml:space="preserve">Relevance </t>
  </si>
  <si>
    <t>Ranking</t>
  </si>
  <si>
    <t>Relevance</t>
  </si>
  <si>
    <r>
      <t>Peng &amp; Liu (2023)</t>
    </r>
    <r>
      <rPr>
        <sz val="11"/>
        <color theme="1"/>
        <rFont val="Calibri"/>
        <family val="2"/>
        <scheme val="minor"/>
      </rPr>
      <t xml:space="preserve">. </t>
    </r>
    <r>
      <rPr>
        <i/>
        <sz val="11"/>
        <color theme="1"/>
        <rFont val="Calibri"/>
        <family val="2"/>
        <scheme val="minor"/>
      </rPr>
      <t>Automated code compliance checking based on BIM and knowledge graph</t>
    </r>
    <r>
      <rPr>
        <sz val="11"/>
        <color theme="1"/>
        <rFont val="Calibri"/>
        <family val="2"/>
        <scheme val="minor"/>
      </rPr>
      <t xml:space="preserve">. </t>
    </r>
    <r>
      <rPr>
        <i/>
        <sz val="11"/>
        <color theme="1"/>
        <rFont val="Calibri"/>
        <family val="2"/>
        <scheme val="minor"/>
      </rPr>
      <t>Scientific Reports</t>
    </r>
    <r>
      <rPr>
        <sz val="11"/>
        <color theme="1"/>
        <rFont val="Calibri"/>
        <family val="2"/>
        <scheme val="minor"/>
      </rPr>
      <t>, 13:7065.</t>
    </r>
  </si>
  <si>
    <t>Automate compliance checking using knowledge graphs and BIM data.</t>
  </si>
  <si>
    <t>Ontology-based semantic reasoning, IFC → RDF, SPARQL queries.</t>
  </si>
  <si>
    <t>Revit, IFC2RDF, Protégé, SPARQL</t>
  </si>
  <si>
    <t>Fire protection in AEC</t>
  </si>
  <si>
    <t>Developed full pipeline from BIM to rule checking; addressed naming differences.</t>
  </si>
  <si>
    <t>Limited to Chinese codes; rule encoding is manual.</t>
  </si>
  <si>
    <t>Strong foundation to expand with LLMs.</t>
  </si>
  <si>
    <t>Q1 Journal (Nature Portfolio)</t>
  </si>
  <si>
    <r>
      <t>Lombardi et al. (2025)</t>
    </r>
    <r>
      <rPr>
        <sz val="11"/>
        <color theme="1"/>
        <rFont val="Calibri"/>
        <family val="2"/>
        <scheme val="minor"/>
      </rPr>
      <t xml:space="preserve">. </t>
    </r>
    <r>
      <rPr>
        <i/>
        <sz val="11"/>
        <color theme="1"/>
        <rFont val="Calibri"/>
        <family val="2"/>
        <scheme val="minor"/>
      </rPr>
      <t>Title block detection and information extraction for enhanced building drawings search</t>
    </r>
    <r>
      <rPr>
        <sz val="11"/>
        <color theme="1"/>
        <rFont val="Calibri"/>
        <family val="2"/>
        <scheme val="minor"/>
      </rPr>
      <t xml:space="preserve">. </t>
    </r>
    <r>
      <rPr>
        <i/>
        <sz val="11"/>
        <color theme="1"/>
        <rFont val="Calibri"/>
        <family val="2"/>
        <scheme val="minor"/>
      </rPr>
      <t>arXiv:2504.08645</t>
    </r>
  </si>
  <si>
    <t>Automatically extract structured metadata from drawing title blocks.</t>
  </si>
  <si>
    <t>CV + OCR pipeline; object detection (YOLO) + Tesseract OCR + regex.</t>
  </si>
  <si>
    <t>Revu, Python, YOLO, Tesseract</t>
  </si>
  <si>
    <t>Architecture/Construction</t>
  </si>
  <si>
    <t>Built custom dataset, created COCO converter, automated title block info extraction.</t>
  </si>
  <si>
    <t>Poor accuracy on low-res / handwritten docs; format limitations.</t>
  </si>
  <si>
    <t>Highly relevant for CV-based compliance pre-processing.</t>
  </si>
  <si>
    <t>arXiv preprint</t>
  </si>
  <si>
    <r>
      <t>Hettiarachchi et al. (2024)</t>
    </r>
    <r>
      <rPr>
        <sz val="11"/>
        <color theme="1"/>
        <rFont val="Calibri"/>
        <family val="2"/>
        <scheme val="minor"/>
      </rPr>
      <t xml:space="preserve">. </t>
    </r>
    <r>
      <rPr>
        <i/>
        <sz val="11"/>
        <color theme="1"/>
        <rFont val="Calibri"/>
        <family val="2"/>
        <scheme val="minor"/>
      </rPr>
      <t>CODE-ACCORD: A Corpus of Building Regulatory Data for Rule Generation</t>
    </r>
    <r>
      <rPr>
        <sz val="11"/>
        <color theme="1"/>
        <rFont val="Calibri"/>
        <family val="2"/>
        <scheme val="minor"/>
      </rPr>
      <t xml:space="preserve">. </t>
    </r>
    <r>
      <rPr>
        <i/>
        <sz val="11"/>
        <color theme="1"/>
        <rFont val="Calibri"/>
        <family val="2"/>
        <scheme val="minor"/>
      </rPr>
      <t>Scientific Data (Nature)</t>
    </r>
  </si>
  <si>
    <t>Build a large annotated dataset for regulatory NLP tasks.</t>
  </si>
  <si>
    <t>Data collection, RASE tagging, entity-relation annotation using LLMs + humans.</t>
  </si>
  <si>
    <t>LightTag, GPT-4, JSONL</t>
  </si>
  <si>
    <t>Building regulations</t>
  </si>
  <si>
    <t>Released CODE-ACCORD (4K+ entities); defined generic RASE ontology.</t>
  </si>
  <si>
    <t>Domain bias; manual curation still needed.</t>
  </si>
  <si>
    <t>Critical dataset for LLM fine-tuning.</t>
  </si>
  <si>
    <t>High-ranking dataset paper (Nature Portfolio)</t>
  </si>
  <si>
    <r>
      <t>Iranmanesh et al. (2024)</t>
    </r>
    <r>
      <rPr>
        <sz val="11"/>
        <color theme="1"/>
        <rFont val="Calibri"/>
        <family val="2"/>
        <scheme val="minor"/>
      </rPr>
      <t xml:space="preserve">. </t>
    </r>
    <r>
      <rPr>
        <i/>
        <sz val="11"/>
        <color theme="1"/>
        <rFont val="Calibri"/>
        <family val="2"/>
        <scheme val="minor"/>
      </rPr>
      <t>Human-in-the-loop Learning With LLMs for Efficient RASE Tagging</t>
    </r>
    <r>
      <rPr>
        <sz val="11"/>
        <color theme="1"/>
        <rFont val="Calibri"/>
        <family val="2"/>
        <scheme val="minor"/>
      </rPr>
      <t xml:space="preserve">. </t>
    </r>
    <r>
      <rPr>
        <i/>
        <sz val="11"/>
        <color theme="1"/>
        <rFont val="Calibri"/>
        <family val="2"/>
        <scheme val="minor"/>
      </rPr>
      <t>Scientific Data</t>
    </r>
  </si>
  <si>
    <t>Improve annotation efficiency using HITL and LLMs for tagging regulations.</t>
  </si>
  <si>
    <t>Fine-tuning with progressive learning; confidence pooling; graph eval.</t>
  </si>
  <si>
    <t>GPT-4, JSONL, LightTag, SimGNN</t>
  </si>
  <si>
    <t>Introduced HITL loop with active learning, graph evaluation using GED.</t>
  </si>
  <si>
    <t>Expensive to scale; PDF conversion errors.</t>
  </si>
  <si>
    <t>Highly relevant for dataset curation and LLM use.</t>
  </si>
  <si>
    <t>Nature Portfolio</t>
  </si>
  <si>
    <r>
      <t>Saeed et al. (2024)</t>
    </r>
    <r>
      <rPr>
        <sz val="11"/>
        <color theme="1"/>
        <rFont val="Calibri"/>
        <family val="2"/>
        <scheme val="minor"/>
      </rPr>
      <t xml:space="preserve">. </t>
    </r>
    <r>
      <rPr>
        <i/>
        <sz val="11"/>
        <color theme="1"/>
        <rFont val="Calibri"/>
        <family val="2"/>
        <scheme val="minor"/>
      </rPr>
      <t>LLM-assisted Graph-RAG Information Extraction from IFC Data</t>
    </r>
    <r>
      <rPr>
        <sz val="11"/>
        <color theme="1"/>
        <rFont val="Calibri"/>
        <family val="2"/>
        <scheme val="minor"/>
      </rPr>
      <t xml:space="preserve">. </t>
    </r>
    <r>
      <rPr>
        <i/>
        <sz val="11"/>
        <color theme="1"/>
        <rFont val="Calibri"/>
        <family val="2"/>
        <scheme val="minor"/>
      </rPr>
      <t>arXiv:2504.16813</t>
    </r>
  </si>
  <si>
    <t>Extract rule-relevant triples from IFC files using LLMs.</t>
  </si>
  <si>
    <t>Graph-based RAG framework, RDF-based extraction from BIM.</t>
  </si>
  <si>
    <t>IFC, RDF, Graph-RAG, LLM</t>
  </si>
  <si>
    <t>BIM (IFC files)</t>
  </si>
  <si>
    <t>First to apply Graph-RAG on BIM; introduced semantically enriched graph extraction.</t>
  </si>
  <si>
    <t>RDF schema complexity; performance on noisy models.</t>
  </si>
  <si>
    <t>Bridges BIM and LLM extraction; great for hybrid pipelines.</t>
  </si>
  <si>
    <t>Zhou, Y., She, J., Huang, Y., Li, L., Zhang, L., &amp; Zhang, J. (2022). A design for safety (DFS) semantic framework development based on natural language processing (NLP) for automated compliance checking using BIM: The case of China. Buildings, 12(780). DOI:10.3390/buildings12060780</t>
  </si>
  <si>
    <t>NLP-based text mining for safety regulations; Ontology development using OWL; BIM data extraction via Dynamo; Mapping using Cellfie; Automated rule transformation into SWRL for compliance checking.</t>
  </si>
  <si>
    <t>NLPIR (Chinese segmentation), Revit, Dynamo, Protégé (with Cellfie), SWRL, OntoGraf.</t>
  </si>
  <si>
    <t>Design for Safety (DFS) in Architecture, Engineering, and Construction (AEC), specifically Chinese construction regulations.</t>
  </si>
  <si>
    <t>Developed a DFS ontology incorporating safety regulations and BIM data; Proposed a framework combining NLP, ontology, and BIM;  Demonstrated improved interoperability and compliance accuracy (95.21% recall, 90.63% precision).</t>
  </si>
  <si>
    <t>Framework tested only on a Chinese case study; Limited generalisability to other regulatory environments; Lack of standardized ontology for global DFS practices.</t>
  </si>
  <si>
    <t>Highly relevant for ACC in AEC, especially for integrating NLP and ontology-based approaches for rule extraction and compliance checking.</t>
  </si>
  <si>
    <t>Develop a semantic framework integrating BIM and NLP for automated compliance checking (ACC) during the design stage, focusing on improving interoperability and semantic representation.</t>
  </si>
  <si>
    <t>Kruiper, R., Kumar, B., Watson, R., Sadeghineko, F., Gray, A., &amp; Konstas, I. (2024). A platform-based natural language processing-driven strategy for digitalising regulatory compliance processes for the built environment. Advanced Engineering Informatics, 62, 102653.</t>
  </si>
  <si>
    <t>Propose i-Rec (Intelligent Regulatory Compliance), a platform-based approach to digitalising the entire regulatory compliance process by addressing ambiguity, complexity, and interoperability issues in regulatory documents.</t>
  </si>
  <si>
    <t>Platform strategy with two layers: user-facing tools and a shared meta-layer of standards/resources; Developed semantic enrichment of building regulations and NLP-driven information retrieval; Focused on identification, extraction, and semantic processing of requirements from a large regulatory corpus (≈800 documents); Evaluated a semantic search engine against baseline IR systems.</t>
  </si>
  <si>
    <t>NLP and ML techniques (tokenisation, lemmatisation, multi-word expression detection using Spar.txt); Semantic Web technologies (Linked Data, Knowledge Graphs); Corpus: UK Building Regulations, Approved Documents, and referenced standards; GitHub tools: Spar.txt, text-to-KG.</t>
  </si>
  <si>
    <t>Focusing on UK building regulations and guidance documents, supporting building permit and compliance checking.</t>
  </si>
  <si>
    <t>Proposed i-Rec, a comprehensive NLP + Semantic Web platform for regulatory compliance digitalisation; Developed semantic search engine outperforming other search systems on regulatory corpus retrieval tasks; Introduced methods for handling ambiguity, inconsistent terminology, and multi-word expressions; Outlined vision for integrated compliance ecosystem enabling stakeholders (designers, inspectors, regulators) to access relevant requirements efficiently.</t>
  </si>
  <si>
    <t>Licensing issues with regulatory documents; Current implementation focused mainly on text processing, leaving rule computability and full ACC unsolved; Requires comprehensive domain vocabularies and larger, diverse datasets; Future work: improve semantic enrichment, expand knowledge graph coverage, and integrate with BIM workflows.</t>
  </si>
  <si>
    <t>Foundational for large-scale compliance digitalisation; addresses document-centric challenges before rule formalisation, making it essential for full ACC.</t>
  </si>
  <si>
    <t>Themes Related (Yes/No)</t>
  </si>
  <si>
    <t>Li, Y., Yang, M., Zhao, Q., Li, Z., Ma, Z., Liu, Y., &amp; Hei, X. (2023). A Semantic Representation Method of Building Codes Applied to Compliance Checking. Mathematics, 11(2552). https://doi.org/10.3390/math11112552</t>
  </si>
  <si>
    <t>Develop a semantic representation method for building codes that can accurately capture relationship constraints and spatial relationships, enabling more precise automated compliance checking.</t>
  </si>
  <si>
    <t>Theme Mapping</t>
  </si>
  <si>
    <t>Five-part semantic code representation model:
Constraint Subject, Constraint Mode, Constraint Content, Constraint Value, Constraint Item. Represented rules as triples (subject–relationship–object) for semantic clarity; Established mapping between building codes and IFCOWL ontology; Automatically generated SWRL rules for reasoning and compliance checking</t>
  </si>
  <si>
    <t>IFCOWL, OWL, SWRL.</t>
  </si>
  <si>
    <t>Chinese metro design codes.</t>
  </si>
  <si>
    <t>Structured semantic model for complex constraints; Improved handling of spatial/relationship conditions; Automated rule generation from ontology.</t>
  </si>
  <si>
    <t>The method struggles with constraints involving multiple entities or relational dependencies (e.g., fire compartments separated by fire doors); IFCOWL incomplete: Some building concepts and attributes required for compliance checking are missing or insufficiently defined; The approach was validated only on metro design codes and a single real BIM model, so scalability to other building types and regulations is unverified.</t>
  </si>
  <si>
    <t>Provides a strong semantic foundation for ontology-based ACC and rule formalisation.</t>
  </si>
  <si>
    <t>Jia, L., Chen, M., Chen, C., &amp; Jin, Y. (2025). A Semantic Web and IFC-Based Framework for Automated BIM Compliance Checking. Buildings, 15(15), 2633. https://doi.org/10.3390/buildings15152633</t>
  </si>
  <si>
    <t>Develop a framework combining Semantic Web technology and IFC data for efficient automated BIM compliance checking.</t>
  </si>
  <si>
    <t>A five-step ontology development process based on domain standards; Converted BIM models to IFCOWL ontology; Mapping rules (resolve heterogeneity between IFCOWL and building object ontology); SPARQL-based query templates for regulatory checks; Validated through a case study using Jena framework.</t>
  </si>
  <si>
    <t>IFCOWL, Ontology (OWL), SPARQL, Jena framework.</t>
  </si>
  <si>
    <t>BIM-based compliance checking in architectural design phase.</t>
  </si>
  <si>
    <t>Semantic integration of BIM and codes via ontology; Reusable building object ontology; Rule templates for constraint queries using SPARQL.</t>
  </si>
  <si>
    <t>Ontology reuse is limited; redevelopment needed for different specs; Complex spatial info reasoning is challenging (performance drops with large-scale triples).</t>
  </si>
  <si>
    <t>Advances interoperability and semantic automation in ACC workflows.</t>
  </si>
  <si>
    <t>Anim, J., Robaldo, L., &amp; Wyner, A.Z. (2024). A SHACL-Based Approach for Enhancing Automated Compliance Checking with RDF Data. Information, 15(12), 759. https://doi.org/10.3390/info15120759</t>
  </si>
  <si>
    <t>Improve automated compliance checking using SHACL-SPARQL rules on RDF data for aggregate and temporal reasoning in legal norms.</t>
  </si>
  <si>
    <t>Applied SHACL-SPARQL to extend SHACL with inference; used TVC ontology pattern for temporal representation; formalized norms in RDF; validated compliance using SHACL shapes; evaluated through case study.</t>
  </si>
  <si>
    <t>RDF; SHACL-SPARQL; SPARQL; TVC pattern; DLV2 reasoner</t>
  </si>
  <si>
    <t>Legal compliance checking for Ghana’s petroleum regulations (LI 2204).</t>
  </si>
  <si>
    <t>Introduced SHACL-SPARQL for temporal and aggregate reasoning; provided standardized and interoperable RDF-based compliance approach; supported defeasible reasoning and non-compliance explanations.</t>
  </si>
  <si>
    <t>Automation of compliance filings incomplete; scalability on large datasets needs validation; LLM integration for rule extraction proposed as future work.</t>
  </si>
  <si>
    <t>While not AEC-specific, the method demonstrates the potential of SHACL-SPARQL and RDF for advanced reasoning, which can be adapted to AEC compliance scenarios involving temporal and aggregate constraints.</t>
  </si>
  <si>
    <t>Chen, N., Lin, X., Jiang, H., &amp; An, Y. (2024). Automated Building Information Modeling Compliance Check through a Large Language Model Combined with Deep Learning and Ontology. Buildings, 14(7), 1983. https://doi.org/10.3390/buildings14071983</t>
  </si>
  <si>
    <t>An automated BIM compliance checking framework integrating LLM, deep learning, and ontology to improve efficiency and accuracy in regulatory rule interpretation and checking.</t>
  </si>
  <si>
    <t>Built a lightweight domain ontology model; applied deep learning to classify regulatory texts; used LLM for structured information extraction; converted outputs to SPARQL queries for ontology-based compliance checking.</t>
  </si>
  <si>
    <t>LLM (specific model not stated); Deep learning classifiers; Protégé for ontology; SPARQL; BIM data.</t>
  </si>
  <si>
    <t>Residential building design in China</t>
  </si>
  <si>
    <t>Combined LLM few-shot capability with DL for accurate information extraction; reduced need for large annotated datasets; improved automation and scalability; demonstrated efficiency in handling complex regulations; mapped regulatory information to ontology for reasoning.</t>
  </si>
  <si>
    <t>Requires high-quality ontology; case-specific implementation limits generalization; does not fully address LLM interpretability and cost issues; privacy concerns when using external LLM services.</t>
  </si>
  <si>
    <t>Demonstrates practical integration of LLM and DL with ontology for ACC in AEC, providing a scalable and adaptive solution.</t>
  </si>
  <si>
    <t>Johansen, K.W., Teizer, J., &amp; Schultz, C. (2024). Automated rule-based safety inspection and compliance checking of temporary guardrail systems in construction. Automation in Construction, 168, 105849. https://doi.org/10.1016/j.autcon.2024.105849</t>
  </si>
  <si>
    <t>An automated rule-based approach for inspecting and checking compliance of temporary guardrails on construction sites to reduce fall hazards and improve safety.</t>
  </si>
  <si>
    <t>Designed a knowledge-driven, rule-based compliance classification strategy; formalized safety rules and observations into a knowledge base; used point cloud data captured via UAV and BIM for data representation; implemented compliance queries using Prolog; validated with predefined and real-world scenarios.</t>
  </si>
  <si>
    <t>Prolog reasoning engine; BIM model; point cloud data (PCD); Hough transformation for feature extraction.</t>
  </si>
  <si>
    <t>Construction safety compliance for temporary guardrail systems (fall protection).</t>
  </si>
  <si>
    <t>Introduced a semantic, rule-based approach for guardrail compliance; achieved reliable performance under scarce data conditions; demonstrated scalability up to 210,000 equipment instances; shared knowledge base and rule base publicly for reproducibility.</t>
  </si>
  <si>
    <t>Validation limited to guardrails; UAV-based data collection feasibility not tested in full pipeline; manual rule formalization effort required; visual occlusion and low-quality PCD may affect detection accuracy.</t>
  </si>
  <si>
    <t>First scalable, explainable, and transparent rule-based ACC framework for temporary safety equipment in dynamic construction environments.</t>
  </si>
  <si>
    <t>Ma, Z., Zhu, H., Xiang, X., Turk, Ž., &amp; Klinc, R. (2024). Automatic Compliance Checking of BIM Models Against Quality Standards Based on Ontology Technology. Automation in Construction, 166, 105656. https://doi.org/10.1016/j.autcon.2024.105656</t>
  </si>
  <si>
    <t>An ontology-based approach for automatic compliance checking of BIM models against quality standards to ensure correctness, consistency, and completeness of model data.</t>
  </si>
  <si>
    <t>Represented BIM quality standards using OWL ontology and SWRL rules; created BIM-QC ontology; extracted subsets of IFC model data and converted them into ontology instances; executed compliance checks using a rule engine; implemented a prototype system and validated with Chinese BIM quality standards.</t>
  </si>
  <si>
    <t>OWL; SWRL; IFC schema; Jena API; BIMserver.</t>
  </si>
  <si>
    <t>BIM quality compliance checking in AEC industry.</t>
  </si>
  <si>
    <t>Proposed a systematic approach for representing real quality standards with ontology; established process for automated checking of IFC-based BIM models; developed a prototype system demonstrating feasibility; improved scalability compared to previous solutions.</t>
  </si>
  <si>
    <t>Could not computerize all rules (e.g., context-dependent clauses like “application requirements”); only 38 of 48 standard requirements computerized; limited ability to check geometric detail levels; prototype supports only common components.</t>
  </si>
  <si>
    <t>Provides a foundation for ontology-driven ACC systems and promotes automation in BIM quality validation.</t>
  </si>
  <si>
    <t>Create an open, annotated dataset of building regulations to enable machine-readable rule generation for automated compliance checking using modern NLP and ML approaches.</t>
  </si>
  <si>
    <t>Dridi, A., Gaber, M.M., Parsafard, P., Hettiarachchi, H., Bocaneala, N., Breitenfelder, K., Costa, G., Hedblom, M., Juganaru-Mathieu, M., Mecharnia, T., Park, S., Tan, H., Tawil, A.H., &amp; Vakaj, E. (2025). CODE-ACCORD: A Corpus of Building Regulatory Data for Rule Generation Towards Automatic Compliance Checking. Scientific Data, 12, 170. https://doi.org/10.1038/s41597-024-04320-x</t>
  </si>
  <si>
    <t>Extracted self-contained sentences from building regulations of England and Finland; manually annotated entities and relations; curated and validated dataset; produced 862 sentences with 4,297 entities and 4,329 relations.</t>
  </si>
  <si>
    <t>Annotation platform (LightTag); YAML-based format (Building Compliance Rule Language - BCRL); GitHub repository for open access.</t>
  </si>
  <si>
    <t>Architecture, Engineering, and Construction – regulatory text processing for ACC.</t>
  </si>
  <si>
    <t>First open dataset for building regulatory text to support rule generation; generic annotation strategy for entities and relations; supports NLP tasks such as entity recognition, relation extraction, and classification; facilitates adoption of LLM and deep learning for ACC.</t>
  </si>
  <si>
    <t>Focused only on self-contained sentences; excludes context-dependent or cross-referenced rules; limited to English and Finnish regulations; manual annotation still labor-intensive.</t>
  </si>
  <si>
    <t>Provides essential resource for developing AI-driven ACC solutions and benchmarking NLP models for rule interpretation.</t>
  </si>
  <si>
    <t>Beach, T., Yeung, J., Nisbet, N., &amp; Rezgui, Y. (2024). Digital Approaches to Construction Compliance Checking: Validating the Suitability of an Ecosystem Approach to Compliance Checking. Advanced Engineering Informatics, 59, 102288. https://doi.org/10.1016/j.aei.2023.102288</t>
  </si>
  <si>
    <t>Propose and validate an open ecosystem architecture for automated compliance checking (ACC) to overcome limitations of monolithic and BIM-only approaches.</t>
  </si>
  <si>
    <t>Designed and implemented an ecosystem of compliance services using open APIs; developed a prototype integrating multiple compliance checking services (energy, accessibility, fire safety); validated through a school building case study and industry consultation; assessed automation percentage, scalability, and extensibility.</t>
  </si>
  <si>
    <t>Open API-based architecture; IFC-based BIM data; JSON/XML for service interaction; multiple compliance services (energy simulation, geometric checks, color contrast, BIM lookup).</t>
  </si>
  <si>
    <t>UK construction regulations (non-domestic buildings); focus on energy, accessibility, and fire safety compliance.</t>
  </si>
  <si>
    <t>Demonstrated feasibility of ecosystem approach; achieved automation of 85% of a regulatory document vs 51% in BIM-only approaches; ensured scalability and extensibility; introduced audit trail and support for distributed compliance services.</t>
  </si>
  <si>
    <t>Requires machine-operable regulations; current ecosystem prototype validated only in UK context; remaining checks depend on additional specialist services; integration of cross-referenced regulations not fully resolved.</t>
  </si>
  <si>
    <t>Introduces scalable, modular, and open approach enabling greater automation, integration, and collaboration across ACC processes.</t>
  </si>
  <si>
    <t>Fischer, S., Urban, H., Schranz, C., Loibl, P., &amp; van Berlo, L. (2024). Extending Information Delivery Specifications for Digital Building Permit Requirements. Developments in the Built Environment, 20, 100560.</t>
  </si>
  <si>
    <t>Investigate and propose extensions to the IDS (Information Delivery Specification) standard to support digital building permits and enable simple code compliance checks.</t>
  </si>
  <si>
    <t>Analyzed current IDS capabilities and limitations; designed schema extensions for defining element-specific information requirements based on related elements; implemented use cases (escape route analysis and Austrian fire resistance regulations) using IFC models; validated through prototype and OpenBIM-based permit process of Vienna.</t>
  </si>
  <si>
    <t>IDS (XML-based schema); IFC data; BIM checking tools (Solibri Office); BCF for validation.</t>
  </si>
  <si>
    <t>Digital building permit process; BIM model-based compliance checking.</t>
  </si>
  <si>
    <t>Proposed IDS extensions such as related element restrictions, nesting functionality, and cardinality rules; demonstrated potential for simple compliance checks using an existing open standard; maintained IDS simplicity while adding functionality; provided real BIM test models for reproducibility.</t>
  </si>
  <si>
    <t>IDS cannot handle regulations requiring complex computations, geometric or topological reasoning; extensions address only alphanumeric information; further research needed for broader IDS-based rule coverage.</t>
  </si>
  <si>
    <t>Advances use of openBIM standards in automated permit checking; supports standardization and interoperability in compliance processes.</t>
  </si>
  <si>
    <t>Makisha, E. (2023). Features of Regulation Document Translation into a Machine-Readable Format within the Verification of Building Information Models. CivilEng, 4(2), 373–390. https://doi.org/10.3390/civileng4020022</t>
  </si>
  <si>
    <t>Analyze the suitability of regulatory provisions for translation into machine-readable format and identify limitations in automating BIM compliance checks.</t>
  </si>
  <si>
    <t>Applied a rule generation algorithm based on RuleML to provisions of the Russian residential apartment building code (SP 54.13330.2016); classified 356 statements into five groups based on translation feasibility; proposed recommendations for overcoming limitations and improving standards for automation.</t>
  </si>
  <si>
    <t>RuleML; algorithm for logical formalization; IFC terminology integration; Excel-based interface for rule creation.</t>
  </si>
  <si>
    <t>BIM compliance verification for building codes in the design stage (Russian Federation).</t>
  </si>
  <si>
    <t>Demonstrated that 47% of provisions are suitable for machine-readable translation; identified factors preventing translation (e.g., cross-references, ambiguity); provided strategies to structure standards for better digital readiness; confirmed RuleML scalability and independence from proprietary systems.</t>
  </si>
  <si>
    <t>Process remains time-consuming; some requirements cannot be fully automated due to interpretive ambiguity or reliance on external references; only one code tested.</t>
  </si>
  <si>
    <t>Addresses core challenge in ACC: converting natural language regulations into computable rules for BIM-based verification.</t>
  </si>
  <si>
    <t>Zhang, R., &amp; El-Gohary, N. (2022). Hierarchical Representation and Deep Learning-Based Method for Automatically Transforming Textual Building Codes into Semantic Computable Requirements. Journal of Computing in Civil Engineering, 36(5), 04022022. https://doi.org/10.1061/(ASCE)CP.1943-5487.0001014</t>
  </si>
  <si>
    <t>Develop a fully automated method to transform natural-language building-code requirements into semantic computable representations for ACC.</t>
  </si>
  <si>
    <t>Proposed requirement hierarchy representation to decompose complex code sentences into manageable units; defined semantic relations for linking units; implemented deep learning-based method (semi-supervised) for extracting semantic relations and constructing requirement hierarchies; evaluated performance using multi-code corpus.</t>
  </si>
  <si>
    <t>Deep learning (RNN-based model); semi-supervised learning; custom annotation; IFC-linked semantic structure.</t>
  </si>
  <si>
    <t>Automated compliance checking for building codes in AEC industry.</t>
  </si>
  <si>
    <t>First method to automatically extract and represent requirement hierarchies from codes; improves flexibility over rule-based methods; supports complex hierarchical sentence structures; enhances computability for downstream ACC processes.</t>
  </si>
  <si>
    <t>Tested mainly on single-sentence requirements; performance drops on multi-sentence and highly ambiguous rules; scalability to large datasets and handling hidden dependencies remain challenges.</t>
  </si>
  <si>
    <t>Enables automated transformation of regulatory text to computable rules using deep learning, reducing reliance on manual rule crafting.</t>
  </si>
  <si>
    <t>Automate RASE (Requirement, Applicability, Selection, Exception) annotation of building regulations to enable machine-readable rule generation for ACC.</t>
  </si>
  <si>
    <t>Used GPT-4o LLM to convert building regulations into YAML-based structured format; tested three strategies: few-shot learning, fine-tuning, and progressive active learning; integrated human-in-the-loop for iterative feedback and performance refinement.</t>
  </si>
  <si>
    <t>OpenAI GPT-4o; YAML (Building Compliance Rule Language - BCRL); Active Learning pipeline.</t>
  </si>
  <si>
    <t>Al-Turki, D., Hettiarachchi, H., Gaber, M.M., Abdelsamea, M.M., Basurra, S., Iranmanesh, S., Saadany, H., &amp; Vakaj, E. (2024). Human-in-the-Loop Learning with LLMs for Efficient RASE Tagging in Building Compliance Regulations. IEEE Access, 12, 185291–185306. https://doi.org/10.1109/access.2024.3512434</t>
  </si>
  <si>
    <t>Building compliance regulations for ACC in the AEC industry.</t>
  </si>
  <si>
    <t>Automated full RASE annotation using LLMs; introduced active learning with expert feedback for improved accuracy; demonstrated progressive performance improvement across experiments; proposed evaluation metrics for structural and semantic similarity.</t>
  </si>
  <si>
    <t>Performance depends on high-quality training data; significant human oversight still needed for complex rules; integration challenges with BIM systems; scalability issues with large datasets.</t>
  </si>
  <si>
    <t>First study to combine LLMs and active learning for automated RASE annotation, reducing manual rule coding and accelerating ACC adoption in BIM workflows.</t>
  </si>
  <si>
    <t>Wang, Y.; Liu, Y.; Cai, H.; Wang, J.; Zhou, X. An Automated Fire Code Compliance Checking Jointly Using Building Information Models and Natural Language Processing. Fire, 2023, 6(358). https://doi.org/10.3390/fire6090358</t>
  </si>
  <si>
    <t>An automated compliance checking (ACC) system that uses BIM and NLP to improve the efficiency and accuracy of fire code compliance checks, focusing on spatial geometric relationships of building components, which are often neglected in previous research</t>
  </si>
  <si>
    <t>Fire safety compliance within the Architecture, Engineering, and Construction (AEC) industry.</t>
  </si>
  <si>
    <t>Developed a novel ACC framework integrating BIM and NLP; introduced a method for spatial geometric relationship checking within BIM models; created a structured representation of fire codes as logical expressions; demonstrated superior accuracy with an average recall of 96.81% and precision of 91.41%; provided visualized compliance reports with modification suggestions for non-conforming elements.</t>
  </si>
  <si>
    <t>Autodesk Revit; Browser/Server (B/S) architecture; Java for BIM model parsing algorithm; Python for code knowledge translation algorithm and NLP processing; custom spatial analysis algorithm for geometric relationship checking</t>
  </si>
  <si>
    <t>The study proposed a BIM-based ACC framework comprising three core tasks: building model parsing, code knowledge translation, and compliance result reporting. NLP converted unstructured fire codes into structured logical expressions for automated processing, and a custom algorithm handled spatial geometric relationship analysis in BIM models. The framework was tested on multiple building types and validated against a manually prepared gold standard.</t>
  </si>
  <si>
    <t>The rule base needs expansion to cover a broader scope of fire codes; the current system focuses primarily on spatial geometric compliance and lacks semantic-level rule interpretation; applicability across diverse building standards is limited.</t>
  </si>
  <si>
    <t>Relevant to ACC research involving BIM and NLP integration, particularly for enhancing fire safety compliance through automation and geometric reasoning.</t>
  </si>
  <si>
    <t>Chen, D.; Chen, L.; Zhang, Y.; Lin, S.; Ye, M.; Slvsten, S. Automated Fire Risk Assessment and Mitigation in Building Blueprints Using Computer Vision and Deep Generative Models. Advanced Engineering Informatics, 2024, 62:102614. https://doi.org/10.1016/j.aei.2024.102614</t>
  </si>
  <si>
    <t>To develop a comprehensive AI-based approach for automated fire risk assessment and mitigation directly from raw 2D building blueprints, eliminating the dependency on structured BIM models and introducing generative models for proactive design correction.</t>
  </si>
  <si>
    <t>The study presents a three-step approach: first, it standardises and interprets varied blueprints using computer vision, OCR, and image processing to extract vectorised layouts and metadata; second, it conducts automated fire risk assessment through connectivity graphs and evaluates parameters like maximum travel distance (MTD) in line with UK fire safety regulations; third, it applies AI-driven mitigation using deep generative diffusion models conditioned on room connectivity graphs to redesign non-compliant layouts. The method was trained and tested on a semi-synthetic dataset combining 50,000 RPLAN floorplans with enriched metadata.</t>
  </si>
  <si>
    <t>Fire safety compliance in building design and risk management using blueprint data.</t>
  </si>
  <si>
    <t>Python (Anaconda environment); OpenCV; Pillow; ImageIO; Matplotlib; Scikit-image; SciPy; NumPy; NetworkX; PyGraphviz; Tesseract-OCR via Pytesseract; PyTorch for guided diffusion model; Canny Edge Detection; CLAHE;</t>
  </si>
  <si>
    <t>Introduces a full-cycle automated workflow that processes unstructured blueprints for fire risk assessment and mitigation; uses connectivity graphs for risk evaluation and integrates AI-driven redesign through deep generative models; achieves rapid processing (blueprint preprocessing in ~60 s, risk assessment in 2 s, mitigation in 40 s) compared to BIM-based methods requiring hours; demonstrates robustness against image noise and applicability across diverse building types lacking BIM data.</t>
  </si>
  <si>
    <t>Current model focuses primarily on residential buildings; relies on compliance with specific UK fire regulations (Approved Document B, 2019); blueprint interpretation accuracy can decrease under severe image noise; mitigation model constrained by initial dataset diversity.</t>
  </si>
  <si>
    <t>Advances automated compliance checking and risk management by introducing proactive AI-driven mitigation rather than just detection; offers significant efficiency improvements and broader applicability compared to traditional BIM-based solutions.</t>
  </si>
  <si>
    <t>Nuyts, E.; Bonduel, M.; Verstraeten, R. Comparative Analysis of Approaches for Automated Compliance Checking of Construction Data. Advanced Engineering Informatics, 2024, 60:102443. https://doi.org/10.1016/j.aei.2024.102443</t>
  </si>
  <si>
    <t>To compare multiple approaches for automated compliance checking (ACC) and evaluate their ability to interpret and validate building regulations using different standards and technologies.</t>
  </si>
  <si>
    <t>A comparative analysis of eight approaches applied to five rule categories (information availability, value, relational, mathematical, conditional) derived from Flemish regulations; tested with uniform datasets; evaluated on functionality, interoperability, rule expressiveness, and validation reporting.</t>
  </si>
  <si>
    <t>Solibri Model Checker; IDS (via USBIM.ids); XSD (validated with Apache Xerces-J); JSON Schema (Ajv); OWL and SWRL (Protégé 5.6.1 with Pellet reasoner); SPARQL; SHACL (PySHACL); Autodesk Revit for IFC datasets.</t>
  </si>
  <si>
    <t>Architecture, Engineering, Construction, and Operations (AECO) – digital compliance and data validation.</t>
  </si>
  <si>
    <t>Provided a reproducible evaluation framework; delivered the most comprehensive comparison of IFC-based, schema-driven, and linked data approaches; identified functional gaps and interoperability issues; recommended hybrid frameworks.</t>
  </si>
  <si>
    <t>Focused on five constraint types only; excluded performance-based and geometric rules; IDS still under development; high complexity for semantic approaches.</t>
  </si>
  <si>
    <t>Offers practical guidance for tool selection and interoperability strategies.</t>
  </si>
  <si>
    <t>Robaldo, L.; Pacenza, F.; Zangari, J.; Calegari, R.; Calimeri, F.; Siragusa, G. Efficient Compliance Checking of RDF Data. Journal of Logic and Computation, 2023, 33, 1776. https://doi.org/10.1093/logcom/exad034</t>
  </si>
  <si>
    <t>To design and evaluate efficient logic-based approaches for compliance checking on RDF data without conversion, ensuring scalability and explainability for legal and regulatory use cases.</t>
  </si>
  <si>
    <t>Compared SHACL-based and ASP-based (DLV2) reasoners; formalised rules using SHACL and ASP-core-2; executed compliance checks on RDF datasets through both local files and SPARQL endpoints; evaluated performance under different configurations.</t>
  </si>
  <si>
    <t>TopBraid SHACL API (Java); DLV2 ASP reasoner (C++ core with RDF/SPARQL support); Apache Jena Fuseki for SPARQL endpoints; RDF datasets in Turtle syntax; Java orchestration;</t>
  </si>
  <si>
    <t>Although not specific to AEC, its techniques (RDF-based rule formalisation and validation using SHACL and ASP) can be adapted for ontology-driven automated compliance checking in AEC contexts, especially when BIM data or building regulations are transformed into RDF representations.</t>
  </si>
  <si>
    <t>DLV2 is proprietary for commercial use; SHACL better for ecosystem integration but slower; tests limited to synthetic datasets; no parallelisation for large-scale industry deployment.</t>
  </si>
  <si>
    <t>First comparative evaluation of SHACL and ASP for RDF compliance; demonstrated DLV2’s superior efficiency; provided formalisation of legal norms compatible with RDF; created reusable benchmarks for future studies.</t>
  </si>
  <si>
    <t>Semantic Web and LegalTech; automated normative reasoning and compliance checking for RDF data.</t>
  </si>
  <si>
    <t>T. Bloch, A. Borrmann, P. Pauwels, Graph-based learning for automated code checking: Exploring the application of graph neural networks for design review, Advanced Engineering Informatics, 58 (2023), 102137. DOI: 10.1016/j.aei.2023.102137</t>
  </si>
  <si>
    <t>To investigate the feasibility of applying Graph Neural Networks for automated code compliance checking as an alternative to traditional rule-based and classical machine learning approaches, aiming for scalability and flexibility in design review.</t>
  </si>
  <si>
    <t>The study represents building information as labelled property graphs and applies Graph Neural Networks for classification of compliance without explicit rule encoding; synthetic datasets of floor plans were generated; models such as Graph Attention Network (GAT) and Graph Convolutional Network (GCN) were trained and evaluated on synthetic and real BIM-based designs.</t>
  </si>
  <si>
    <t>Graph Neural Networks including GAT and GCN; Python-based machine learning frameworks such as PyTorch Geometric; synthetic graph dataset generation; BIM-based input data.</t>
  </si>
  <si>
    <t>Residential building design</t>
  </si>
  <si>
    <t>Introduced a GNN-based workflow that removes the need for manual rule encoding; demonstrated that graph-based learning captures geometric and relational characteristics more effectively than classical approaches; provided a labelled synthetic dataset for research purposes; achieved notable performance with GAT achieving 86.8% accuracy and F1 score on test data and 88% correct classification in real-world BIM-based designs.</t>
  </si>
  <si>
    <t>Proof-of-concept study limited to simplified accessibility rules for residential projects; dependence on synthetic data which restricts diversity and realism; GNN-based results are probabilistic and less deterministic than rule-based methods, raising liability concerns; automation for graph generation and scalability for complex regulatory domains remains underdeveloped.</t>
  </si>
  <si>
    <t>It directly addresses automation of design review and compliance checking through AI-driven approaches, providing a potential alternative to traditional rule-based and NLP-based systems.</t>
  </si>
  <si>
    <t>Z. Zheng, Y.-C. Zhou, X.-Z. Lu, J.-R. Lin, Knowledge-informed semantic alignment and rule interpretation for automated compliance checking, Automation in Construction, 142 (2022), 104524. DOI: 10.1016/j.autcon.2022.104524</t>
  </si>
  <si>
    <t>An end-to-end automated framework that bridges the semantic gap between regulatory texts and BIM models using knowledge-informed semantic alignment and rule interpretation, enabling accurate and efficient compliance checking.</t>
  </si>
  <si>
    <t>The framework combines ontology-based knowledge modeling, semantic enrichment of BIM models, unsupervised-learning-based semantic alignment, conflict resolution, and automated rule interpretation into SPARQL executable queries; includes text classification for choosing transformation methods; rules are parsed into syntax trees, semantically aligned with ontology, refined, and converted into executable code for rule checking in a reasoning engine.</t>
  </si>
  <si>
    <t>Ontology for domain knowledge representation; IFC (Industry Foundation Classes) for BIM data; SPARQL for query execution; unsupervised semantic alignment using word embeddings (e.g., Word2Vec); reasoning engines such as GraphDB and Protégé; open-source toolkits for ontology and RDF conversion.</t>
  </si>
  <si>
    <t>Automated Compliance Checking in the AEC sector; tested using Chinese Fire Protection Design Code for Buildings (GB 50016-2014) applied to an actual plant building BIM model; model enriched with inferred attributes from IFC files.</t>
  </si>
  <si>
    <t>Proposed a knowledge-informed semantic alignment method reducing manual ontology mapping; introduced conflict resolution rules to enhance interpretation accuracy; developed a code generation approach using SPARQL to support complex rules including those requiring implicit information inference; achieved 90.1% alignment accuracy outperforming keyword-matching baselines; interpretation process was five times faster than manual interpretation by experts; demonstrated practical application with successful detection of non-compliant elements in a real-world BIM model.</t>
  </si>
  <si>
    <t>Currently tested only on compulsory fire protection regulations; limited support for spatial geometry-related rules and existential constraints; performance can be improved with advanced deep learning methods; relies on assumption that IFC data stores attributes in expected locations; rules referencing figures or other sections of the code not yet handled.</t>
  </si>
  <si>
    <t>It addresses two major challenges in ACC—semantic gap between regulatory text and BIM data and interpretation of complex rules with implicit information; provides a scalable, ontology-driven framework for integrating NLP and reasoning in compliance checking.</t>
  </si>
  <si>
    <t>Soumya Madireddy, Lu Gao, Zia Ud Din, Kinam Kim, Ahmed Senouci, Zhe Han, Yunpeng Zhang, Large Language Model-Driven Code Compliance Checking in Building Information Modeling, Electronics, 14(11), 2146 (2025). DOI: 10.3390/electronics14112146</t>
  </si>
  <si>
    <t>An LLM-driven framework that integrates natural language understanding with BIM environments for semi-automated code compliance checking, reducing reliance on manual methods and improving accuracy and efficiency.</t>
  </si>
  <si>
    <t>The framework connects LLMs (such as ChatGPT, Claude, Gemini, and LLaMA) with Autodesk Revit; it interprets regulatory texts and converts them into executable Python scripts for compliance checking within BIM models; includes an error-feedback loop for script refinement; tested through two case studies: a single-family residential project and an office building.</t>
  </si>
  <si>
    <t>Large Language Models (ChatGPT, Claude, Gemini, LLaMA); Revit API for BIM interaction; Python for rule execution; prompt engineering for regulatory interpretation; error-handling and refinement loop for accuracy improvement.</t>
  </si>
  <si>
    <t>Automated Compliance Checking in AEC; focused on building code verification for design models within BIM; case studies used actual BIM models of residential and office buildings and regulatory requirements related to dimensions, material usage, and object placement.</t>
  </si>
  <si>
    <t xml:space="preserve"> Introduced a semi-automated compliance checking workflow embedded in BIM; enabled dynamic generation and execution of code from natural language rules without extensive manual programming; reduced compliance-checking time and repetitive tasks; improved detection of non-compliance in geometry and attribute-based constraints; provided adaptability for multiple regulation sets and potential scalability for diverse construction projects.</t>
  </si>
  <si>
    <t>Semi-automated rather than fully automated; depends on prompt quality and LLM reasoning accuracy; regulatory texts with nested conditions and highly complex interdependencies remain challenging; requires robust error-handling for script execution failures; compliance assurance in safety-critical rules still needs expert validation.</t>
  </si>
  <si>
    <t>It integrates LLMs with BIM to overcome traditional rule-based system limitations; demonstrates a practical pathway for leveraging generative AI to handle complex regulation interpretation and execution in real-world projects.</t>
  </si>
  <si>
    <t>Liu Jiang, Jianyong Shi, Chaoyu Wang, Multi-ontology fusion and rule development to facilitate automated code compliance checking using BIM and rule-based reasoning, Advanced Engineering Informatics, 51 (2022), 101449. DOI: 10.1016/j.aei.2021.101449</t>
  </si>
  <si>
    <t>An ontology-driven framework that integrates multiple ontologies and rule-based reasoning for automated compliance checking in BIM environments, addressing semantic heterogeneity between regulatory requirements and design models.</t>
  </si>
  <si>
    <t>The methodology consists of creating four ontologies: a code ontology, a designed model ontology, a merged ontology, and a code compliance checking ontology; mapping rules reconcile terminology and semantic differences between regulatory and design data; rule-based reasoning is applied to the merged ontology using predefined checking rules to generate compliance reports; a five-step roadmap for ontology development is proposed, and IFC data is reorganized via ifcOWL for semantic enrichment before reasoning.</t>
  </si>
  <si>
    <t>Ontology modeling techniques based on OWL; IFC and ifcOWL for BIM data representation; ontology editors such as Protégé; rule-based reasoning engines (e.g., SWRL-based); mapping and checking rules implemented in a semantic reasoning environment.</t>
  </si>
  <si>
    <t>Chinese building codes for design compliance; implemented on BIM models to verify structural and design specifications</t>
  </si>
  <si>
    <t>Proposed a multi-ontology fusion approach to address semantic heterogeneity between codes and BIM models; developed a systematic process for ontology development and mapping; designed a gray-box checking mechanism ensuring transparency and interpretability of the checking process; implemented an ACC platform tested on real projects; demonstrated that ontology-based reasoning can generate accurate compliance reports with improved efficiency compared to manual checks.</t>
  </si>
  <si>
    <t>Advances ontology-based ACC by introducing multi-ontology fusion and mapping techniques, providing a transparent and extensible framework for rule-based compliance verification in BIM-driven workflows.</t>
  </si>
  <si>
    <t>High dependency on domain experts for ontology and rule creation; labor-intensive initial ontology development process; difficulty in representing dynamic or geometry-dependent requirements within static ontological frameworks; performance issues when handling large-scale BIM data and complex reasoning tasks</t>
  </si>
  <si>
    <t>Han Liu, Ge Gao, Hehua Zhang, Yu-Shen Liu, Yan Song, Ming Gu, MVDLite: A fast validation algorithm for Model View Definition rules, Advanced Engineering Informatics, 58 (2023), 102132. DOI: 10.1016/j.aei.2023.102132</t>
  </si>
  <si>
    <t>Improve the efficiency of validating MVD (Model View Definition) rules for BIM data exchange by developing a fast algorithm that reduces redundant operations in traditional matching-checking processes.</t>
  </si>
  <si>
    <t>The proposed algorithm, MVDLite, introduces a rule-chain structure that integrates subgraph templates and rule statements from MVDXML rulesets into a single structure; it applies a round-trip searching and filtering strategy to minimize redundant edge visits and uses deep caching to accelerate repeated validation across multiple rules; the algorithm’s complexity and applicability are analyzed and experimentally compared with existing methods.</t>
  </si>
  <si>
    <t>MVDXML (Model View Definition format); IFC schema for BIM data; implemented on the steparser tool; experimental comparison with other tools including XBIM MVDXML Plugin and Python-MVDXML</t>
  </si>
  <si>
    <t>Validation of IFC-based BIM data exchange against predefined MVD rulesets as specified in BuildingSMART standards</t>
  </si>
  <si>
    <t>Introduced a novel rule-chain structure to combine templates and rule statements for integrated processing; proposed the MVDLite algorithm enabling fast round-trip searching and filtering; demonstrated significant performance improvement with speed-up factors between 3x and 14x compared to existing matching-checking algorithms; deep caching strategy reduced validation time by about 40% on large rule sets; provided complexity analysis and discussed applicability for future extensions such as linked building data.</t>
  </si>
  <si>
    <t>Currently optimized for tree-structured templates and static MVDXML rule formats; does not handle rules involving ordered or repeatable node collections; scalability to enriched semantic checking and geometry-based reasoning remains unexplored; integration with linked data frameworks (e.g., SHACL) requires further research.</t>
  </si>
  <si>
    <t>Highly relevant to AEC as it enhances the efficiency of data validation in BIM interoperability workflows, particularly for early-stage data exchange checks in compliance-driven processes; serves as a foundational improvement for fast pre-checking before advanced code compliance or rule-based reasoning.</t>
  </si>
  <si>
    <t>Omar Doukari, David Greenwood, Kay Rogage, Mohamad Kassem, Object-Centred Automated Compliance Checking: A Novel Bottom-Up Approach, Journal of Information Technology in Construction (ITcon), Vol. 27 (2022), pp. 335–362. DOI: 10.36680/j.itcon.2022.017</t>
  </si>
  <si>
    <t>To propose and validate a bottom-up, object-centred approach for automated compliance checking that leverages BIM object-oriented characteristics to improve quality assurance, efficiency, and scalability in compliance processes.</t>
  </si>
  <si>
    <t>Developed an ACC framework structured in four stages: requirement rules interpretation, BIM object data preparation, rule execution, and results reporting; encoded requirements as modular if-then XML-based rules; implemented an object-centric execution process starting from simple explicit objects to more complex implicit ones; integrated optimization techniques inspired by simulated annealing for efficient rule execution; demonstrated feasibility through a plugin prototype applied to case studies.</t>
  </si>
  <si>
    <t>XML for rule encoding; IFC as the BIM file format; plugin prototype developed for an object-oriented BIM authoring platform (Autodesk Revit); simulated annealing-based optimization approach for iterative checking; manual collaborative workshops for requirement formalization.</t>
  </si>
  <si>
    <t>Validated through two case studies: (1) a foodservice equipment BIM object library based on FCSI foodservice modelling standards, and (2) an additional test with fire door objects for building code compliance; BIM data sourced from a major French manufacturer.</t>
  </si>
  <si>
    <t>Introduced a bottom-up object-centred compliance framework supporting content validation, model completeness, smart object verification, and design option checking; enabled hierarchical decomposition of rules by application domain (energy, accessibility, safety) and object type; demonstrated significant time savings of approximately 125 minutes per object compared to manual checking; provided extensible structure for future integration with open standards and IFC-based workflows.</t>
  </si>
  <si>
    <t>Current framework requires manual rule encoding through expert workshops, limiting scalability; lacks full automation of rule interpretation from natural language; initial implementation is specific to object libraries rather than full building models; integration with broader compliance domains and open standards remains a future goal.</t>
  </si>
  <si>
    <t>Proposes a novel approach to ACC that improves efficiency, transparency, and scalability; demonstrates practical potential for quality control and certification of BIM object libraries while addressing limitations of traditional top-down rule-based frameworks.</t>
  </si>
  <si>
    <t>Judith Fauth, Philipp Hagedorn, Ioannis Brilakis, Sebastian Sei, Sven Zentgraf, Markus König, OntoBPR: An ontology-based framework for performing building permit reviews using standardized information containers, Advanced Engineering Informatics, 66 (2025), 103369. DOI: 10.1016/j.aei.2025.103369</t>
  </si>
  <si>
    <t>Develop an ontology-based, process-oriented framework that digitalizes and automates building permit reviews by integrating regulatory, procedural, and technical aspects, using standardized information containers for seamless data exchange and compliance verification.</t>
  </si>
  <si>
    <t>The OntoBPR framework applies the Linked Open Terms (LOT) methodology to design a multi-layered ontology aligned with building permit processes; integrates modular domain ontologies (e.g., planning law, building regulations) and an upper process ontology; utilizes Information Container for Linked Document Delivery (ICDD) for structured submission and exchange of digital building applications; incorporates SHACL for automated compliance and completeness checks; demonstrated through a case study validating the framework’s capability to manage submissions, verify regulatory compliance, and issue digital notification letters.</t>
  </si>
  <si>
    <t>Ontology engineering using OWL and modular design principles; ICDD standardized in ISO 21597 for data exchange; SHACL for rule validation; RDF and SPARQL for semantic querying; ontology editors like Protégé; a web-based prototype enabling container-based review workflows.</t>
  </si>
  <si>
    <t>Validated through a German regulatory environment case study for formal and content review of building applications using BIM-related data and legal requirements.</t>
  </si>
  <si>
    <t xml:space="preserve"> Introduced a holistic, ontology-driven framework for building permit reviews integrating regulatory, procedural, and technical layers; demonstrated how ICDD enables standardized digital application submissions and SHACL ensures completeness and compliance checks; provided automated generation of notification letters; advanced semantic interoperability in permitting processes; ensured adaptability for diverse jurisdictions through modular ontology architecture; first comprehensive framework to combine multi-ontology integration, semantic rule validation, and process-oriented automation.</t>
  </si>
  <si>
    <t>Framework tested only conceptually and in a controlled case study, not yet deployed in real-world municipal permitting authorities; alignment with diverse international regulatory systems requires additional customization; SHACL rule development and maintenance responsibilities remain unresolved; limited coverage of extended regulatory domains such as energy efficiency and environmental impact; lacks large-scale performance testing.</t>
  </si>
  <si>
    <t>Highly relevant to AEC as it addresses digital transformation of permitting processes through semantic technologies; bridges gaps in interoperability, automation, and compliance verification using standardized information exchange and ontology-driven reasoning.</t>
  </si>
  <si>
    <t>Fan Yang, Jiansong Zhang, Prompt-based automation of building code information transformation for compliance checking, Automation in Construction, 168 (2024), 105817. DOI: 10.1016/j.autcon.2024.105817</t>
  </si>
  <si>
    <t>A prompt-based framework leveraging GPT models for automating the transformation of building code requirements into machine-readable logic programming formats, addressing challenges of manual interpretation and extensive data needs in existing methods.</t>
  </si>
  <si>
    <t>Designed a two-component framework: (1) a front-end UI module for user interaction and (2) a back-end information conversion module; applied prompt engineering with GPT models to interpret natural language building codes and convert them into logic clauses executable in compliance checking systems; evaluated performance on two tasks: building code translation and crash report translation for versatility.</t>
  </si>
  <si>
    <t>GPT-based Large Language Models enhanced with prompt engineering; logic programming for rule representation; Python-based implementation; comparison against rule-based and ML-based methods</t>
  </si>
  <si>
    <t>Building code information transformation; experimental data comprised 51 requirements from IBC 2015 Chapter 9 (Fire Protection) and an additional dataset for crash report processing to validate adaptability.</t>
  </si>
  <si>
    <t>Introduced an innovative prompt-based approach integrating GPT with rule-based precision and ML adaptability; achieved high accuracy with 97.37% precision and 95.88% recall at the logic clause level using only 2% training data; reduced code generation time to 60.8 seconds per rule, a 27.8% time saving compared to rule-based methods; developed a new dataset of logic-translated building regulations for future research; demonstrated adaptability beyond AEC by successfully transforming crash reports.</t>
  </si>
  <si>
    <t>Dependent on prompt quality and requires iterative refinement for complex or domain-specific provisions; evaluation limited to specific IBC chapters and controlled experimental settings; lacks integration with downstream BIM-based compliance checking tools; fine-tuning may be necessary for diverse jurisdictions.</t>
  </si>
  <si>
    <t>It automates one of the most resource-intensive steps in ACC—transforming natural language building codes into machine-readable logic rules; shows strong potential for reducing costs, improving accuracy, and enabling scalable compliance solutions.</t>
  </si>
  <si>
    <t>Simiao Zhu, Jianliang Zhou, Lei Cheng, Xuehai Fu, Yan Wang, Kexin Dai, Research on a BIM Model Quality Compliance Checking Method Based on a Knowledge Graph, Journal of Computing in Civil Engineering, 39(1), 04024049 (2025). DOI: 10.1061/JCCEE5.CPENG-5950</t>
  </si>
  <si>
    <t>An automated method for BIM model quality compliance checking based on knowledge graph technology, aiming to improve checking efficiency, reduce reliance on manual processes, and adapt to frequent rule changes in BIM standards</t>
  </si>
  <si>
    <t>Developed a four-stage framework including (1) rule interpretation: converting BIM modeling standards into structured knowledge graphs using SQL; (2) model preparation: extracting information from BIM models via Revit API; (3) rule execution: implementing an automated checking system as a Revit plug-in using C#; and (4) reporting: generating detailed compliance reports highlighting noncompliant components and modification suggestions; dynamic rule base constructed to allow real-time updates of BIM standards.</t>
  </si>
  <si>
    <t>Knowledge graph technology; SQL-based dynamic rule base; Revit API for model data extraction; C# for Revit secondary development; visual compliance reporting integrated within Revit.</t>
  </si>
  <si>
    <t xml:space="preserve"> BIM Model Quality Compliance Checking in the AEC industry; tested on a real-world project — Xuzhou Metro Line 6 (China) — covering architectural, structural, mechanical, electrical, and plumbing components; dataset included 2,496 BIM components with checks on naming conventions, material attributes, parameter completeness, and rationality.</t>
  </si>
  <si>
    <t>Introduced knowledge graph-based compliance checking to replace hard-coded rules, enabling flexibility and scalability; improved accuracy and efficiency by reducing error rate from 15.95% to 0% after iterative corrections; allowed customization of rule bases for different enterprises and projects; provided real-time visualization for error localization and corrective actions.</t>
  </si>
  <si>
    <t>Limited to Revit platform and specific BIM standards; complex geometric and spatial reasoning still requires further research; updating and maintaining the dynamic rule base is technically demanding; interoperability with other BIM software not yet achieved.</t>
  </si>
  <si>
    <t>Highly relevant to AEC, particularly for quality assurance of BIM deliverables; addresses critical issues of low standardization and inefficiency in manual compliance checks by introducing a scalable, ontology-inspired knowledge graph solution integrated with BIM platforms.</t>
  </si>
  <si>
    <t>Ankan Karmakar, Venkata Santosh Kumar Delhi, Restructuring Elements in IFC Topology through Semantic Enrichment: A Case of Automated Compliance Checking, Journal of Computing in Civil Engineering, 39(1), 04024049 (2025). DOI: 10.1061/JCCEE5.CPENG-5950</t>
  </si>
  <si>
    <t>To address the limitation of IFC-based BIM models in representing relational topology required for automated compliance checking by introducing semantic enrichment processes to restructure IFC elements for complex rule evaluations.</t>
  </si>
  <si>
    <t>Developed a structured semantic enrichment workflow to explicitly define topological and associative relationships missing in IFC schema; tasks include identifying undefined IFC classes (e.g., chajja sunshades), applying classification logic, creating associations, and performing geometric computations; the enriched IFC model allows rule checks through simple if-then logic; implemented a Python-based rule execution system to validate enriched attributes.</t>
  </si>
  <si>
    <t>IFC4 schema (ISO 16739-1:2018); Revit for BIM modeling; Python-based compliance checking platform; semantic enrichment through rule-based calculations; geometric computation algorithms for topological reconstruction.</t>
  </si>
  <si>
    <t>Automated Compliance Checking in the AEC sector; validated on a real-world residential building project in Mumbai, India using Unified Development Control and Promotion Regulations (UDCPR) for Maharashtra; focused on checking chajja (sunshade) projection width (max 0.75 m) across 70 slab elements in an IFC model.</t>
  </si>
  <si>
    <t>Introduced a multi-layered semantic enrichment approach to restore implicit topological relationships in IFC for rule execution; demonstrated automated compliance checking for a complex clause requiring derived attributes not directly available in BIM models; reduced manual preprocessing effort by automating classification and association tasks; highlighted the potential for combining rule-based and machine-learning enrichment strategies.</t>
  </si>
  <si>
    <t>Current method relies heavily on rule-based enrichment and manual configuration for undefined IFC elements; scalability for diverse code requirements and large projects remains untested; geometric computations may become computationally intensive for highly complex building models; integration with fully automated ML-driven enrichment is future work.</t>
  </si>
  <si>
    <t>It addresses a critical challenge in ACC—lack of semantic and topological detail in IFC for complex regulation checks; provides a structured, rule-based enrichment framework adaptable for similar regional development control rules.</t>
  </si>
  <si>
    <t>Kabzhan Z. et al., Semantic and ontology-based analysis of regulatory documents for construction industry digitalization, Frontiers in Built Environment, 11 (2025), Article 1575913. DOI: 10.3389/fbuil.2025.1575913</t>
  </si>
  <si>
    <t>Develop a semantic and ontology-based method for analyzing regulatory documents to enhance consistency and support construction digitalization.</t>
  </si>
  <si>
    <t>Combined ontological modeling and NLP; created semantic profiles (subject-predicate-object) using the EKG-LP module for text parsing, contradiction detection, and dependency mapping.</t>
  </si>
  <si>
    <t>Ontologies (BFO, IFC, SKOS); EKG-LP NLP engine built on SpaCy; RDF for structured data representation.</t>
  </si>
  <si>
    <t>Regulatory document analysis for AEC; tested on 14 Kazakhstani building codes (242,000 words).</t>
  </si>
  <si>
    <t>Enabled detection of duplicate and contradictory rules; proposed semantic profiles for machine-readable regulations; achieved strong performance (F1 = 0.86); architecture adaptable for BIM integration.</t>
  </si>
  <si>
    <t>Focused only on text; no direct BIM compliance check; semantic ambiguity handling limited; integration with permitting systems pending.</t>
  </si>
  <si>
    <t xml:space="preserve">AEC digitalization; foundational for linking regulations to BIM for future ACC.
</t>
  </si>
  <si>
    <t>V. Schuk, M.E. Pombo Jimenez, U. Martin, Technical specifications to meet the requirements of an automatic code compliance checking tool and current developments in infrastructure construction, Results in Engineering, 16 (2022), 100650. DOI: 10.1016/j.rineng.2022.100650</t>
  </si>
  <si>
    <t>To define technical specifications for developing an Automatic Code Compliance Checking (ACCC) tool for infrastructure construction and review current developments and research gaps.</t>
  </si>
  <si>
    <t>Conducted a systematic review of existing ACCC approaches in infrastructure; identified functional requirements and modeling specifications; proposed classification systems for regulations and rules; evaluated the use of BPMN/DMN and RASE methods for formalizing rules; suggested graph-based data modeling for regulation dependencies.</t>
  </si>
  <si>
    <t>BPMN and DMN for process modeling; RASE method for rule structuring; graph databases for managing complex relationships; IFC-RAIL for representing infrastructure semantics; Knowledge-Based Engineering (KBE) systems for integration.</t>
  </si>
  <si>
    <t>Infrastructure construction compliance checking; focused on railway guidelines (DB AG) and considered applicability for road and multi-modal transport; tested with 943 rules from DB AG’s Ril 800 family guidelines, of which 52% were automatable.</t>
  </si>
  <si>
    <t>rovided a detailed specification framework for ACCC tools; introduced a faceted classification system (country, region, technical subject, planning stage, mode of transport, emitting body, codification status, complexity level); demonstrated that 85% of parametric rules can be represented using BPMN/DMN; proposed a graph-based modeling approach for better representation and linkage of rules, references, and infrastructure objects.</t>
  </si>
  <si>
    <t>No universal standard for machine-readable regulations in infrastructure; high complexity in modeling cross-referenced and multi-level rules; manual preprocessing remains necessary for non-parametric rules; IFC extensions insufficient for representing regulations.</t>
  </si>
  <si>
    <t>Addresses a critical research gap by proposing structured specifications for ACCC in rail and road projects; lays the foundation for standardized, interoperable compliance systems.</t>
  </si>
  <si>
    <t>Yes</t>
  </si>
  <si>
    <t>Explainability and Trust in AI Systems (0.703), Human-in-the-Loop Approaches (0.667)</t>
  </si>
  <si>
    <t>Rule Representation and Reasoning (0.752)</t>
  </si>
  <si>
    <t>Integration of Ontologies and Knowledge Graphs (0.746), Multimodal Information Extraction (0.723), Use of LLMs (0.659)</t>
  </si>
  <si>
    <t>Rule Representation and Reasoning (0.766)</t>
  </si>
  <si>
    <t>Rule Representation and Reasoning (0.817)</t>
  </si>
  <si>
    <t>Semantic Alignment with BIM/IFC (0.713), Evaluation and Benchmarking (0.660)</t>
  </si>
  <si>
    <t>Model–Driven Compliance Intelligence (0.697), Multimodal Information Extraction (0.696)</t>
  </si>
  <si>
    <r>
      <t>Rule Representation and Reasoning (0.741) (</t>
    </r>
    <r>
      <rPr>
        <b/>
        <sz val="11"/>
        <color theme="1"/>
        <rFont val="Calibri"/>
        <family val="2"/>
        <scheme val="minor"/>
      </rPr>
      <t>Multimodal Information Extraction, Model–Driven Compliance Intelligence</t>
    </r>
    <r>
      <rPr>
        <sz val="11"/>
        <color theme="1"/>
        <rFont val="Calibri"/>
        <family val="2"/>
        <scheme val="minor"/>
      </rPr>
      <t>)</t>
    </r>
  </si>
  <si>
    <t>No</t>
  </si>
  <si>
    <t xml:space="preserve">Rule Representation and Reasoning (0.741) </t>
  </si>
  <si>
    <t>Semantic Alignment with BIM/IFC (0.740)</t>
  </si>
  <si>
    <t>The goal is to create an automated approach to quality compliance checking in concrete dam construction by converting natural-language quality standards into structured, machine-readable rules that can be directly compared with project data.</t>
  </si>
  <si>
    <t>The method combines a rule syntax parser to extract structured rule elements from regulatory text with semantic distance calculations to measure similarity between these rules and quality data from construction projects, forming an automated compliance checking pipeline.</t>
  </si>
  <si>
    <t>The tools include a custom-developed rule syntax parser, semantic similarity algorithms for comparing rule and data content, and a database of construction quality records for validation.</t>
  </si>
  <si>
    <t>Custom rule syntax parser for extracting structured rules, a Word2Vec-based semantic distance module for comparing rules with project data, and a construction quality database for validation</t>
  </si>
  <si>
    <t>The contributions include designing and implementing a hybrid framework that integrates syntax parsing and semantic analysis, demonstrating its use in real dam construction projects, and reducing the manual interpretation workload for engineers.</t>
  </si>
  <si>
    <t>The limitations are its domain-specific design for dam construction, dependence on the accuracy of semantic similarity measures, reliance on well-structured parsed rules, and the lack of integration with broader technologies such as ontologies or BIM.</t>
  </si>
  <si>
    <r>
      <t>Model–Driven Compliance Intelligence (0.659) (</t>
    </r>
    <r>
      <rPr>
        <b/>
        <sz val="11"/>
        <color theme="1"/>
        <rFont val="Calibri"/>
        <family val="2"/>
        <scheme val="minor"/>
      </rPr>
      <t>Formalisation of Regulatory Text, Rule Representation and Reasoning</t>
    </r>
    <r>
      <rPr>
        <sz val="11"/>
        <color theme="1"/>
        <rFont val="Calibri"/>
        <family val="2"/>
        <scheme val="minor"/>
      </rPr>
      <t>)</t>
    </r>
  </si>
  <si>
    <t>Qiubing Ren, Dongliang Zhang, Mingchao Li, Shu Chen, Dan Tian, Heng Li, Leping Liu, Automatic quality compliance checking in concrete dam construction: Integrating rule syntax parsing and semantic distance, Advanced Engineering Informatics, Volume 60, 2024, 102409, ISSN 1474-0346, https://doi.org/10.1016/j.aei.2024.102409.</t>
  </si>
  <si>
    <t>It transforms unstructured quality standards into structured rules, applies automated reasoning through semantic similarity to assess compliance, and validates the process using real construction data, demonstrating a practical and operational ACC workflow in the concrete dam construction domain</t>
  </si>
  <si>
    <t>Model–Driven Compliance Intelligence (0.659)</t>
  </si>
  <si>
    <t>Formalisation of Regulatory Text (0.760), Human-in-the-Loop Approaches (0.663)</t>
  </si>
  <si>
    <t>To automatically adapt non-compliant BIM designs into code-compliant alternatives while preserving the original layout and minimising manual revisions.</t>
  </si>
  <si>
    <t>The framework uses graph-based propagation to identify affected design elements, Morris sensitivity analysis to rank influential variables, and conditioned Latin hypercube sampling to explore feasible design variants, all guided by weighted Euclidean distance to maintain similarity to the original design.</t>
  </si>
  <si>
    <t>Revit/Dynamo API for BIM model manipulation, NetworkX for graph processing, Python for automation, Morris sensitivity analysis, conditioned Latin hypercube sampling, and a weighted Euclidean distance metric.</t>
  </si>
  <si>
    <t>Architectural spatial compliance checking during early design stages, focusing on requirements from the International Building Code, such as corridor width and room area.</t>
  </si>
  <si>
    <t>Introduces a designer-centred “design healing” workflow linking ACC results to automated, explainable, and localised corrections, enabling efficient exploration of compliant design alternatives without sacrificing original intent.</t>
  </si>
  <si>
    <t>Currently tailored to spatial compliance checks under specific IBC provisions; requires integration with existing BIM authoring tools; effectiveness depends on the accuracy of the underlying ACC rules.</t>
  </si>
  <si>
    <t>Relevant to tool development for real-world ACC integration.</t>
  </si>
  <si>
    <t>Jiabin Wu, Stavros Nousias, André Borrmann, Design Healing framework for automated code compliance,
Automation in Construction, Volume 171, 2025, 106004, ISSN 0926-5805, https://doi.org/10.1016/j.autcon.2025.106004.</t>
  </si>
  <si>
    <t>Multimodal Information Extraction (0.668)</t>
  </si>
  <si>
    <t>Human-in-the-Loop Approaches (0.645)</t>
  </si>
  <si>
    <t>Explainability and Trust in AI Systems (0.635)</t>
  </si>
  <si>
    <t>Semantic Alignment with BIM/IFC (0.724)</t>
  </si>
  <si>
    <t>To develop an autonomous, explainable, and interactive compliance checking framework that can process diverse regulatory content and integrate directly with BIM workflows.</t>
  </si>
  <si>
    <t>Huaquan Ying and Rafael Sacks, From Automatic to Autonomous: a Large Language Model-driven Approach for Generic Building Compliance Checking, EasyChair Preprint 15364, 11 pages, November 5, 2024. https://easychair.org/publications/preprint/k2PJ</t>
  </si>
  <si>
    <t>The approach employs Large Language Model (LLM) agents with Retrieval-Augmented Generation to interpret building regulations from multiple formats, reason over BIM model data, and autonomously check compliance, with conversational human-in-the-loop support for ambiguous cases and natural language logging for transparency.</t>
  </si>
  <si>
    <t>LLM-based agents, Retrieval-Augmented Generation framework, RevitCopilot plugin for BIM integration, and supporting components for multimodal regulatory data parsing.</t>
  </si>
  <si>
    <t>Generic building code compliance checking within architectural and engineering design processes using BIM models.</t>
  </si>
  <si>
    <t>Introduces an LLM-driven, autonomous compliance checking system capable of handling multimodal regulatory inputs, providing explainable reasoning steps, enabling interactive clarification with users, and integrating into real-world BIM design environments via RevitCopilot.</t>
  </si>
  <si>
    <t>Dependent on the reliability and interpretive accuracy of LLMs; requires well-structured BIM data; effectiveness may vary with regulation complexity and domain-specific jargon; computational costs may be high for large models.</t>
  </si>
  <si>
    <t>Directly relevant to Explainability and Trust in AI Systems, Model–Driven Compliance Intelligence, Multimodal Information Extraction, Human-in-the-Loop Approaches, and Tool Development and Real-World Application for ACC.</t>
  </si>
  <si>
    <t>Formalisation of Regulatory Text (0.769)</t>
  </si>
  <si>
    <t>Explainability and Trust in AI Systems (0.654)</t>
  </si>
  <si>
    <t>Tool Development and Real-World Application (0.666)</t>
  </si>
  <si>
    <t>Human-in-the-Loop Approaches (0.642)</t>
  </si>
  <si>
    <t>Formalisation of Regulatory Text (0.779), Tool Development and Real-World Application (0.692), Human-in-the-Loop Approaches (0.638)</t>
  </si>
  <si>
    <t>Integration of Ontologies and Knowledge Graphs (0.779)</t>
  </si>
  <si>
    <t>Formalisation of Regulatory Text (0.738), Multimodal Information Extraction (0.694), Evaluation and Benchmarking (0.694), Model–Driven Compliance Intelligence (0.684)</t>
  </si>
  <si>
    <t>Rule Representation and Reasoning (0.738)</t>
  </si>
  <si>
    <t>Semantic Alignment with BIM/IFC (0.758)</t>
  </si>
  <si>
    <t>Evaluation and Benchmarking (0.704), Explainability and Trust in AI Systems (0.686)</t>
  </si>
  <si>
    <t>Integration of Ontologies and Knowledge Graphs (0.785)</t>
  </si>
  <si>
    <t>Tool Development and Real-World Application (0.691), Evaluation and Benchmarking (0.664)</t>
  </si>
  <si>
    <t xml:space="preserve">Semantic Alignment with BIM/IFC (0.713) </t>
  </si>
  <si>
    <t>Tool Development and Real-World Application (0.689), Evaluation and Benchmarking (0.654)</t>
  </si>
  <si>
    <t>Formalisation of Regulatory Text (0.750), Integration of Ontologies and Knowledge Graphs (0.731), Multimodal Information Extraction (0.707)</t>
  </si>
  <si>
    <t>Integration of Ontologies and Knowledge Graphs (0.745), Tool Development and Real-World Application (0.694)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</si>
</sst>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0" fillId="0" borderId="0" xfId="0" applyFont="1" applyAlignment="1">
      <alignment vertical="center" wrapText="1"/>
    </xf>
  </cellXfs>
  <cellStyles count="1">
    <cellStyle name="Normal" xfId="0" builtinId="0"/>
  </cellStyles>
  <dxfs count="2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font>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627E61-0E55-41D6-BC54-F5F49BA8BEDC}" name="Table1" displayName="Table1" ref="A1:K34" totalsRowShown="0" headerRowDxfId="24" dataDxfId="23">
  <autoFilter ref="A1:K34" xr:uid="{74627E61-0E55-41D6-BC54-F5F49BA8BEDC}"/>
  <tableColumns count="11">
    <tableColumn id="1" xr3:uid="{932C4153-02C9-4027-977C-3259B2092F93}" name="#" dataDxfId="22"/>
    <tableColumn id="2" xr3:uid="{FFA8A5FA-461A-4410-999E-95F25DDCE3FE}" name="Citation" dataDxfId="21"/>
    <tableColumn id="3" xr3:uid="{D25F687D-20B5-470E-A108-E0871FE15125}" name="Goal" dataDxfId="20"/>
    <tableColumn id="4" xr3:uid="{6FA8944E-543F-4BBE-A4C6-B0FC2F44CD87}" name="Method" dataDxfId="19"/>
    <tableColumn id="5" xr3:uid="{0D9D361E-85F9-4449-BCAB-6FAAC8CDA478}" name="Tools" dataDxfId="18"/>
    <tableColumn id="6" xr3:uid="{01D7BD48-F24F-42C7-8A08-40BA843A9AF6}" name="Domain" dataDxfId="17"/>
    <tableColumn id="7" xr3:uid="{3344458C-5FE3-43EC-BB13-2E70B75A8440}" name="Contributions" dataDxfId="16"/>
    <tableColumn id="8" xr3:uid="{6F00C66F-0509-47D3-A39C-31A8D0499E84}" name="Limitations" dataDxfId="15"/>
    <tableColumn id="9" xr3:uid="{61BAE314-29BF-4962-B1EA-65E3F3C04C52}" name="Relevance " dataDxfId="14"/>
    <tableColumn id="10" xr3:uid="{A1506691-166F-4D26-84D1-BE8288C1389D}" name="Theme Mapping" dataDxfId="13"/>
    <tableColumn id="11" xr3:uid="{61402E38-6258-4083-8438-B4AC058672C4}" name="Themes Related (Yes/No)" dataDxfId="1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AADB5A-4EA1-4CDA-8DDB-3EF8BBE0CC0B}" name="Table2" displayName="Table2" ref="A1:J6" totalsRowShown="0" headerRowDxfId="11" dataDxfId="10">
  <autoFilter ref="A1:J6" xr:uid="{79AADB5A-4EA1-4CDA-8DDB-3EF8BBE0CC0B}"/>
  <tableColumns count="10">
    <tableColumn id="1" xr3:uid="{5DFB4F45-6B6A-440D-997D-71D467914EC2}" name="#" dataDxfId="9"/>
    <tableColumn id="2" xr3:uid="{2AFFDBFB-C5B7-4395-AA78-0207E6C37114}" name="Citation" dataDxfId="8"/>
    <tableColumn id="3" xr3:uid="{771540A9-3E6B-4597-8C0D-645EBCE2BFBC}" name="Goal" dataDxfId="7"/>
    <tableColumn id="4" xr3:uid="{E41C2602-D841-4467-8AD5-97914DA304C4}" name="Method" dataDxfId="6"/>
    <tableColumn id="5" xr3:uid="{180C9903-E824-4020-8C16-1A7B7BE92B30}" name="Tools" dataDxfId="5"/>
    <tableColumn id="6" xr3:uid="{58585A05-A76C-47B7-88D6-9F94A7469983}" name="Domain" dataDxfId="4"/>
    <tableColumn id="7" xr3:uid="{7589705B-23AC-48AF-849B-20E01DD04AB4}" name="Contributions" dataDxfId="3"/>
    <tableColumn id="8" xr3:uid="{2DE827FD-3575-45EA-8084-1379BED79CE4}" name="Limitations" dataDxfId="2"/>
    <tableColumn id="9" xr3:uid="{E9552A0C-F1DD-40FD-B3CD-90EF02CD1EF0}" name="Relevance" dataDxfId="1"/>
    <tableColumn id="10" xr3:uid="{0C58DCE3-F320-4842-8A16-034AE3B845DB}" name="Rank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zoomScale="85" zoomScaleNormal="85" workbookViewId="0">
      <pane ySplit="1" topLeftCell="A2" activePane="bottomLeft" state="frozen"/>
      <selection pane="bottomLeft" activeCell="J3" sqref="J3"/>
    </sheetView>
  </sheetViews>
  <sheetFormatPr defaultColWidth="18.42578125" defaultRowHeight="15" x14ac:dyDescent="0.25"/>
  <cols>
    <col min="1" max="1" width="7.140625" bestFit="1" customWidth="1"/>
    <col min="2" max="2" width="109.7109375" customWidth="1"/>
    <col min="3" max="3" width="17.85546875" bestFit="1" customWidth="1"/>
    <col min="4" max="4" width="17.5703125" bestFit="1" customWidth="1"/>
    <col min="6" max="6" width="16.7109375" bestFit="1" customWidth="1"/>
    <col min="7" max="7" width="21.5703125" bestFit="1" customWidth="1"/>
    <col min="8" max="8" width="18.7109375" bestFit="1" customWidth="1"/>
    <col min="9" max="9" width="21" bestFit="1" customWidth="1"/>
    <col min="10" max="10" width="21" customWidth="1"/>
    <col min="11" max="11" width="15.28515625" bestFit="1" customWidth="1"/>
  </cols>
  <sheetData>
    <row r="1" spans="1:11" ht="56.25" x14ac:dyDescent="0.25">
      <c r="A1" s="4" t="s">
        <v>0</v>
      </c>
      <c r="B1" s="4" t="s">
        <v>1</v>
      </c>
      <c r="C1" s="4" t="s">
        <v>2</v>
      </c>
      <c r="D1" s="4" t="s">
        <v>3</v>
      </c>
      <c r="E1" s="4" t="s">
        <v>4</v>
      </c>
      <c r="F1" s="4" t="s">
        <v>5</v>
      </c>
      <c r="G1" s="4" t="s">
        <v>6</v>
      </c>
      <c r="H1" s="4" t="s">
        <v>7</v>
      </c>
      <c r="I1" s="4" t="s">
        <v>8</v>
      </c>
      <c r="J1" s="4" t="s">
        <v>73</v>
      </c>
      <c r="K1" s="4" t="s">
        <v>70</v>
      </c>
    </row>
    <row r="2" spans="1:11" ht="210" x14ac:dyDescent="0.25">
      <c r="A2" s="1">
        <v>1</v>
      </c>
      <c r="B2" s="1" t="s">
        <v>54</v>
      </c>
      <c r="C2" s="1" t="s">
        <v>61</v>
      </c>
      <c r="D2" s="1" t="s">
        <v>55</v>
      </c>
      <c r="E2" s="1" t="s">
        <v>56</v>
      </c>
      <c r="F2" s="1" t="s">
        <v>57</v>
      </c>
      <c r="G2" s="1" t="s">
        <v>58</v>
      </c>
      <c r="H2" s="1" t="s">
        <v>59</v>
      </c>
      <c r="I2" s="1" t="s">
        <v>60</v>
      </c>
      <c r="J2" s="1" t="s">
        <v>298</v>
      </c>
      <c r="K2" s="1" t="s">
        <v>296</v>
      </c>
    </row>
    <row r="3" spans="1:11" ht="405" x14ac:dyDescent="0.25">
      <c r="A3" s="3">
        <f>A2+1</f>
        <v>2</v>
      </c>
      <c r="B3" s="1" t="s">
        <v>62</v>
      </c>
      <c r="C3" s="1" t="s">
        <v>63</v>
      </c>
      <c r="D3" s="1" t="s">
        <v>64</v>
      </c>
      <c r="E3" s="1" t="s">
        <v>65</v>
      </c>
      <c r="F3" s="1" t="s">
        <v>66</v>
      </c>
      <c r="G3" s="1" t="s">
        <v>67</v>
      </c>
      <c r="H3" s="1" t="s">
        <v>68</v>
      </c>
      <c r="I3" s="1" t="s">
        <v>69</v>
      </c>
      <c r="J3" s="1" t="s">
        <v>299</v>
      </c>
      <c r="K3" s="1" t="s">
        <v>296</v>
      </c>
    </row>
    <row r="4" spans="1:11" ht="409.5" x14ac:dyDescent="0.25">
      <c r="A4" s="3">
        <f t="shared" ref="A4:A34" si="0">A3+1</f>
        <v>3</v>
      </c>
      <c r="B4" s="1" t="s">
        <v>71</v>
      </c>
      <c r="C4" s="1" t="s">
        <v>72</v>
      </c>
      <c r="D4" s="1" t="s">
        <v>74</v>
      </c>
      <c r="E4" s="1" t="s">
        <v>75</v>
      </c>
      <c r="F4" s="1" t="s">
        <v>76</v>
      </c>
      <c r="G4" s="1" t="s">
        <v>77</v>
      </c>
      <c r="H4" s="1" t="s">
        <v>78</v>
      </c>
      <c r="I4" s="1" t="s">
        <v>79</v>
      </c>
      <c r="J4" s="1" t="s">
        <v>300</v>
      </c>
      <c r="K4" s="1" t="s">
        <v>296</v>
      </c>
    </row>
    <row r="5" spans="1:11" ht="315" x14ac:dyDescent="0.25">
      <c r="A5" s="3">
        <f t="shared" si="0"/>
        <v>4</v>
      </c>
      <c r="B5" s="1" t="s">
        <v>80</v>
      </c>
      <c r="C5" s="1" t="s">
        <v>81</v>
      </c>
      <c r="D5" s="1" t="s">
        <v>82</v>
      </c>
      <c r="E5" s="1" t="s">
        <v>83</v>
      </c>
      <c r="F5" s="1" t="s">
        <v>84</v>
      </c>
      <c r="G5" s="1" t="s">
        <v>85</v>
      </c>
      <c r="H5" s="1" t="s">
        <v>86</v>
      </c>
      <c r="I5" s="1" t="s">
        <v>87</v>
      </c>
      <c r="J5" s="1" t="s">
        <v>301</v>
      </c>
      <c r="K5" s="1" t="s">
        <v>296</v>
      </c>
    </row>
    <row r="6" spans="1:11" ht="210" x14ac:dyDescent="0.25">
      <c r="A6" s="3">
        <f t="shared" si="0"/>
        <v>5</v>
      </c>
      <c r="B6" s="1" t="s">
        <v>88</v>
      </c>
      <c r="C6" s="1" t="s">
        <v>89</v>
      </c>
      <c r="D6" s="1" t="s">
        <v>90</v>
      </c>
      <c r="E6" s="1" t="s">
        <v>91</v>
      </c>
      <c r="F6" s="1" t="s">
        <v>92</v>
      </c>
      <c r="G6" s="1" t="s">
        <v>93</v>
      </c>
      <c r="H6" s="1" t="s">
        <v>94</v>
      </c>
      <c r="I6" s="1" t="s">
        <v>95</v>
      </c>
      <c r="J6" s="1" t="s">
        <v>297</v>
      </c>
      <c r="K6" s="1" t="s">
        <v>296</v>
      </c>
    </row>
    <row r="7" spans="1:11" ht="409.5" x14ac:dyDescent="0.25">
      <c r="A7" s="3">
        <f t="shared" si="0"/>
        <v>6</v>
      </c>
      <c r="B7" s="1" t="s">
        <v>168</v>
      </c>
      <c r="C7" s="1" t="s">
        <v>169</v>
      </c>
      <c r="D7" s="1" t="s">
        <v>173</v>
      </c>
      <c r="E7" s="1" t="s">
        <v>172</v>
      </c>
      <c r="F7" s="1" t="s">
        <v>170</v>
      </c>
      <c r="G7" s="1" t="s">
        <v>171</v>
      </c>
      <c r="H7" s="1" t="s">
        <v>174</v>
      </c>
      <c r="I7" s="1" t="s">
        <v>175</v>
      </c>
      <c r="J7" s="1" t="s">
        <v>302</v>
      </c>
      <c r="K7" s="1" t="s">
        <v>296</v>
      </c>
    </row>
    <row r="8" spans="1:11" ht="240" x14ac:dyDescent="0.25">
      <c r="A8" s="3">
        <f t="shared" si="0"/>
        <v>7</v>
      </c>
      <c r="B8" s="1" t="s">
        <v>96</v>
      </c>
      <c r="C8" s="1" t="s">
        <v>97</v>
      </c>
      <c r="D8" s="1" t="s">
        <v>98</v>
      </c>
      <c r="E8" s="1" t="s">
        <v>99</v>
      </c>
      <c r="F8" s="1" t="s">
        <v>100</v>
      </c>
      <c r="G8" s="1" t="s">
        <v>101</v>
      </c>
      <c r="H8" s="1" t="s">
        <v>102</v>
      </c>
      <c r="I8" s="1" t="s">
        <v>103</v>
      </c>
      <c r="J8" s="1" t="s">
        <v>303</v>
      </c>
      <c r="K8" s="1" t="s">
        <v>296</v>
      </c>
    </row>
    <row r="9" spans="1:11" ht="409.5" x14ac:dyDescent="0.25">
      <c r="A9" s="3">
        <f t="shared" si="0"/>
        <v>8</v>
      </c>
      <c r="B9" s="1" t="s">
        <v>176</v>
      </c>
      <c r="C9" s="1" t="s">
        <v>177</v>
      </c>
      <c r="D9" s="1" t="s">
        <v>178</v>
      </c>
      <c r="E9" s="1" t="s">
        <v>180</v>
      </c>
      <c r="F9" s="1" t="s">
        <v>179</v>
      </c>
      <c r="G9" s="1" t="s">
        <v>181</v>
      </c>
      <c r="H9" s="1" t="s">
        <v>182</v>
      </c>
      <c r="I9" s="1" t="s">
        <v>183</v>
      </c>
      <c r="J9" s="1" t="s">
        <v>304</v>
      </c>
      <c r="K9" s="1" t="s">
        <v>305</v>
      </c>
    </row>
    <row r="10" spans="1:11" ht="330" x14ac:dyDescent="0.25">
      <c r="A10" s="3">
        <f t="shared" si="0"/>
        <v>9</v>
      </c>
      <c r="B10" s="1" t="s">
        <v>104</v>
      </c>
      <c r="C10" s="1" t="s">
        <v>105</v>
      </c>
      <c r="D10" s="1" t="s">
        <v>106</v>
      </c>
      <c r="E10" s="1" t="s">
        <v>107</v>
      </c>
      <c r="F10" s="1" t="s">
        <v>108</v>
      </c>
      <c r="G10" s="1" t="s">
        <v>109</v>
      </c>
      <c r="H10" s="1" t="s">
        <v>110</v>
      </c>
      <c r="I10" s="1" t="s">
        <v>111</v>
      </c>
      <c r="J10" s="1" t="s">
        <v>306</v>
      </c>
      <c r="K10" s="1" t="s">
        <v>296</v>
      </c>
    </row>
    <row r="11" spans="1:11" ht="330" x14ac:dyDescent="0.25">
      <c r="A11" s="3">
        <f t="shared" si="0"/>
        <v>10</v>
      </c>
      <c r="B11" s="1" t="s">
        <v>112</v>
      </c>
      <c r="C11" s="1" t="s">
        <v>113</v>
      </c>
      <c r="D11" s="1" t="s">
        <v>114</v>
      </c>
      <c r="E11" s="1" t="s">
        <v>115</v>
      </c>
      <c r="F11" s="6" t="s">
        <v>116</v>
      </c>
      <c r="G11" s="1" t="s">
        <v>117</v>
      </c>
      <c r="H11" s="1" t="s">
        <v>118</v>
      </c>
      <c r="I11" s="6" t="s">
        <v>119</v>
      </c>
      <c r="J11" s="6" t="s">
        <v>307</v>
      </c>
      <c r="K11" s="1" t="s">
        <v>296</v>
      </c>
    </row>
    <row r="12" spans="1:11" ht="285" x14ac:dyDescent="0.25">
      <c r="A12" s="3"/>
      <c r="B12" s="7" t="s">
        <v>315</v>
      </c>
      <c r="C12" s="1" t="s">
        <v>308</v>
      </c>
      <c r="D12" s="1" t="s">
        <v>309</v>
      </c>
      <c r="E12" s="1" t="s">
        <v>310</v>
      </c>
      <c r="F12" s="1" t="s">
        <v>311</v>
      </c>
      <c r="G12" s="1" t="s">
        <v>312</v>
      </c>
      <c r="H12" s="1" t="s">
        <v>313</v>
      </c>
      <c r="I12" s="1" t="s">
        <v>316</v>
      </c>
      <c r="J12" s="1" t="s">
        <v>314</v>
      </c>
      <c r="K12" s="1" t="s">
        <v>305</v>
      </c>
    </row>
    <row r="13" spans="1:11" ht="256.5" customHeight="1" x14ac:dyDescent="0.25">
      <c r="A13" s="3">
        <f>A11+1</f>
        <v>11</v>
      </c>
      <c r="B13" s="1" t="s">
        <v>121</v>
      </c>
      <c r="C13" s="1" t="s">
        <v>120</v>
      </c>
      <c r="D13" s="1" t="s">
        <v>122</v>
      </c>
      <c r="E13" s="1" t="s">
        <v>123</v>
      </c>
      <c r="F13" s="1" t="s">
        <v>124</v>
      </c>
      <c r="G13" s="1" t="s">
        <v>125</v>
      </c>
      <c r="H13" s="1" t="s">
        <v>126</v>
      </c>
      <c r="I13" s="1" t="s">
        <v>127</v>
      </c>
      <c r="J13" s="1" t="s">
        <v>318</v>
      </c>
      <c r="K13" s="1" t="s">
        <v>296</v>
      </c>
    </row>
    <row r="14" spans="1:11" ht="330" x14ac:dyDescent="0.25">
      <c r="A14" s="3">
        <f t="shared" si="0"/>
        <v>12</v>
      </c>
      <c r="B14" s="1" t="s">
        <v>184</v>
      </c>
      <c r="C14" s="1" t="s">
        <v>185</v>
      </c>
      <c r="D14" s="1" t="s">
        <v>186</v>
      </c>
      <c r="E14" s="1" t="s">
        <v>187</v>
      </c>
      <c r="F14" s="1" t="s">
        <v>188</v>
      </c>
      <c r="G14" s="1" t="s">
        <v>189</v>
      </c>
      <c r="H14" s="1" t="s">
        <v>190</v>
      </c>
      <c r="I14" s="1" t="s">
        <v>191</v>
      </c>
      <c r="J14" s="1" t="s">
        <v>317</v>
      </c>
      <c r="K14" s="1" t="s">
        <v>296</v>
      </c>
    </row>
    <row r="15" spans="1:11" ht="315" x14ac:dyDescent="0.25">
      <c r="A15" s="3"/>
      <c r="B15" s="7" t="s">
        <v>326</v>
      </c>
      <c r="C15" s="1" t="s">
        <v>319</v>
      </c>
      <c r="D15" s="1" t="s">
        <v>320</v>
      </c>
      <c r="E15" s="1" t="s">
        <v>321</v>
      </c>
      <c r="F15" s="1" t="s">
        <v>322</v>
      </c>
      <c r="G15" s="1" t="s">
        <v>323</v>
      </c>
      <c r="H15" s="1" t="s">
        <v>324</v>
      </c>
      <c r="I15" s="1" t="s">
        <v>325</v>
      </c>
      <c r="J15" s="1" t="s">
        <v>327</v>
      </c>
      <c r="K15" s="1" t="s">
        <v>296</v>
      </c>
    </row>
    <row r="16" spans="1:11" ht="360" x14ac:dyDescent="0.25">
      <c r="A16" s="3">
        <f>A14+1</f>
        <v>13</v>
      </c>
      <c r="B16" s="1" t="s">
        <v>128</v>
      </c>
      <c r="C16" s="1" t="s">
        <v>129</v>
      </c>
      <c r="D16" s="1" t="s">
        <v>130</v>
      </c>
      <c r="E16" s="1" t="s">
        <v>131</v>
      </c>
      <c r="F16" s="1" t="s">
        <v>132</v>
      </c>
      <c r="G16" s="1" t="s">
        <v>133</v>
      </c>
      <c r="H16" s="1" t="s">
        <v>134</v>
      </c>
      <c r="I16" s="1" t="s">
        <v>135</v>
      </c>
      <c r="J16" s="1" t="s">
        <v>328</v>
      </c>
      <c r="K16" s="1" t="s">
        <v>296</v>
      </c>
    </row>
    <row r="17" spans="1:11" ht="270" x14ac:dyDescent="0.25">
      <c r="A17" s="3">
        <f t="shared" si="0"/>
        <v>14</v>
      </c>
      <c r="B17" s="1" t="s">
        <v>192</v>
      </c>
      <c r="C17" s="1" t="s">
        <v>193</v>
      </c>
      <c r="D17" s="1" t="s">
        <v>194</v>
      </c>
      <c r="E17" s="1" t="s">
        <v>195</v>
      </c>
      <c r="F17" s="1" t="s">
        <v>199</v>
      </c>
      <c r="G17" s="1" t="s">
        <v>198</v>
      </c>
      <c r="H17" s="1" t="s">
        <v>197</v>
      </c>
      <c r="I17" s="1" t="s">
        <v>196</v>
      </c>
      <c r="J17" s="1" t="s">
        <v>329</v>
      </c>
      <c r="K17" s="1" t="s">
        <v>296</v>
      </c>
    </row>
    <row r="18" spans="1:11" ht="345" x14ac:dyDescent="0.25">
      <c r="A18" s="3">
        <f t="shared" si="0"/>
        <v>15</v>
      </c>
      <c r="B18" s="1" t="s">
        <v>136</v>
      </c>
      <c r="C18" s="1" t="s">
        <v>137</v>
      </c>
      <c r="D18" s="1" t="s">
        <v>138</v>
      </c>
      <c r="E18" s="1" t="s">
        <v>139</v>
      </c>
      <c r="F18" s="1" t="s">
        <v>140</v>
      </c>
      <c r="G18" s="1" t="s">
        <v>141</v>
      </c>
      <c r="H18" s="1" t="s">
        <v>142</v>
      </c>
      <c r="I18" s="1" t="s">
        <v>143</v>
      </c>
      <c r="J18" s="1" t="s">
        <v>330</v>
      </c>
      <c r="K18" s="1" t="s">
        <v>296</v>
      </c>
    </row>
    <row r="19" spans="1:11" ht="330" x14ac:dyDescent="0.25">
      <c r="A19" s="3">
        <f t="shared" si="0"/>
        <v>16</v>
      </c>
      <c r="B19" s="1" t="s">
        <v>144</v>
      </c>
      <c r="C19" s="1" t="s">
        <v>145</v>
      </c>
      <c r="D19" s="1" t="s">
        <v>146</v>
      </c>
      <c r="E19" s="1" t="s">
        <v>147</v>
      </c>
      <c r="F19" s="1" t="s">
        <v>148</v>
      </c>
      <c r="G19" s="1" t="s">
        <v>149</v>
      </c>
      <c r="H19" s="1" t="s">
        <v>150</v>
      </c>
      <c r="I19" s="1" t="s">
        <v>151</v>
      </c>
      <c r="J19" s="1" t="s">
        <v>339</v>
      </c>
      <c r="K19" s="1" t="s">
        <v>296</v>
      </c>
    </row>
    <row r="20" spans="1:11" ht="330" x14ac:dyDescent="0.25">
      <c r="A20" s="3"/>
      <c r="B20" s="7" t="s">
        <v>332</v>
      </c>
      <c r="C20" s="1" t="s">
        <v>331</v>
      </c>
      <c r="D20" s="1" t="s">
        <v>333</v>
      </c>
      <c r="E20" s="1" t="s">
        <v>334</v>
      </c>
      <c r="F20" s="1" t="s">
        <v>335</v>
      </c>
      <c r="G20" s="1" t="s">
        <v>336</v>
      </c>
      <c r="H20" s="1" t="s">
        <v>337</v>
      </c>
      <c r="I20" s="1" t="s">
        <v>338</v>
      </c>
      <c r="J20" s="1" t="s">
        <v>340</v>
      </c>
      <c r="K20" s="1" t="s">
        <v>296</v>
      </c>
    </row>
    <row r="21" spans="1:11" ht="390" x14ac:dyDescent="0.25">
      <c r="A21" s="3">
        <f>A19+1</f>
        <v>17</v>
      </c>
      <c r="B21" s="1" t="s">
        <v>200</v>
      </c>
      <c r="C21" s="1" t="s">
        <v>201</v>
      </c>
      <c r="D21" s="1" t="s">
        <v>202</v>
      </c>
      <c r="E21" s="1" t="s">
        <v>203</v>
      </c>
      <c r="F21" s="1" t="s">
        <v>204</v>
      </c>
      <c r="G21" s="1" t="s">
        <v>205</v>
      </c>
      <c r="H21" s="1" t="s">
        <v>206</v>
      </c>
      <c r="I21" s="1" t="s">
        <v>207</v>
      </c>
      <c r="J21" s="1" t="s">
        <v>341</v>
      </c>
      <c r="K21" s="1" t="s">
        <v>296</v>
      </c>
    </row>
    <row r="22" spans="1:11" ht="360" x14ac:dyDescent="0.25">
      <c r="A22" s="3">
        <f t="shared" si="0"/>
        <v>18</v>
      </c>
      <c r="B22" s="1" t="s">
        <v>152</v>
      </c>
      <c r="C22" s="1" t="s">
        <v>153</v>
      </c>
      <c r="D22" s="1" t="s">
        <v>154</v>
      </c>
      <c r="E22" s="1" t="s">
        <v>155</v>
      </c>
      <c r="F22" s="1" t="s">
        <v>156</v>
      </c>
      <c r="G22" s="1" t="s">
        <v>157</v>
      </c>
      <c r="H22" s="1" t="s">
        <v>158</v>
      </c>
      <c r="I22" s="1" t="s">
        <v>159</v>
      </c>
      <c r="J22" s="1" t="s">
        <v>342</v>
      </c>
      <c r="K22" s="1" t="s">
        <v>296</v>
      </c>
    </row>
    <row r="23" spans="1:11" ht="255" x14ac:dyDescent="0.25">
      <c r="A23" s="3">
        <f t="shared" si="0"/>
        <v>19</v>
      </c>
      <c r="B23" s="1" t="s">
        <v>163</v>
      </c>
      <c r="C23" s="1" t="s">
        <v>160</v>
      </c>
      <c r="D23" s="1" t="s">
        <v>161</v>
      </c>
      <c r="E23" s="1" t="s">
        <v>162</v>
      </c>
      <c r="F23" s="1" t="s">
        <v>164</v>
      </c>
      <c r="G23" s="1" t="s">
        <v>165</v>
      </c>
      <c r="H23" s="1" t="s">
        <v>166</v>
      </c>
      <c r="I23" s="1" t="s">
        <v>167</v>
      </c>
      <c r="J23" s="1" t="s">
        <v>343</v>
      </c>
      <c r="K23" s="1" t="s">
        <v>296</v>
      </c>
    </row>
    <row r="24" spans="1:11" ht="409.5" x14ac:dyDescent="0.25">
      <c r="A24" s="3" t="e">
        <f>#REF!+1</f>
        <v>#REF!</v>
      </c>
      <c r="B24" s="1" t="s">
        <v>208</v>
      </c>
      <c r="C24" s="1" t="s">
        <v>209</v>
      </c>
      <c r="D24" s="1" t="s">
        <v>210</v>
      </c>
      <c r="E24" s="1" t="s">
        <v>211</v>
      </c>
      <c r="F24" s="1" t="s">
        <v>212</v>
      </c>
      <c r="G24" s="1" t="s">
        <v>213</v>
      </c>
      <c r="H24" s="1" t="s">
        <v>214</v>
      </c>
      <c r="I24" s="1" t="s">
        <v>215</v>
      </c>
      <c r="J24" s="1" t="s">
        <v>344</v>
      </c>
      <c r="K24" s="1" t="s">
        <v>296</v>
      </c>
    </row>
    <row r="25" spans="1:11" ht="360" x14ac:dyDescent="0.25">
      <c r="A25" s="3" t="e">
        <f t="shared" si="0"/>
        <v>#REF!</v>
      </c>
      <c r="B25" s="1" t="s">
        <v>216</v>
      </c>
      <c r="C25" s="1" t="s">
        <v>217</v>
      </c>
      <c r="D25" s="1" t="s">
        <v>218</v>
      </c>
      <c r="E25" s="1" t="s">
        <v>219</v>
      </c>
      <c r="F25" s="1" t="s">
        <v>220</v>
      </c>
      <c r="G25" s="1" t="s">
        <v>221</v>
      </c>
      <c r="H25" s="1" t="s">
        <v>222</v>
      </c>
      <c r="I25" s="1" t="s">
        <v>223</v>
      </c>
      <c r="J25" s="1" t="s">
        <v>345</v>
      </c>
      <c r="K25" s="1" t="s">
        <v>296</v>
      </c>
    </row>
    <row r="26" spans="1:11" ht="409.5" x14ac:dyDescent="0.25">
      <c r="A26" s="3" t="e">
        <f t="shared" si="0"/>
        <v>#REF!</v>
      </c>
      <c r="B26" s="1" t="s">
        <v>224</v>
      </c>
      <c r="C26" s="1" t="s">
        <v>225</v>
      </c>
      <c r="D26" s="1" t="s">
        <v>226</v>
      </c>
      <c r="E26" s="1" t="s">
        <v>227</v>
      </c>
      <c r="F26" s="1" t="s">
        <v>228</v>
      </c>
      <c r="G26" s="1" t="s">
        <v>229</v>
      </c>
      <c r="H26" s="1" t="s">
        <v>231</v>
      </c>
      <c r="I26" s="1" t="s">
        <v>230</v>
      </c>
      <c r="J26" s="1" t="s">
        <v>346</v>
      </c>
      <c r="K26" s="1" t="s">
        <v>296</v>
      </c>
    </row>
    <row r="27" spans="1:11" ht="409.5" x14ac:dyDescent="0.25">
      <c r="A27" s="3" t="e">
        <f t="shared" si="0"/>
        <v>#REF!</v>
      </c>
      <c r="B27" s="1" t="s">
        <v>232</v>
      </c>
      <c r="C27" s="1" t="s">
        <v>233</v>
      </c>
      <c r="D27" s="1" t="s">
        <v>234</v>
      </c>
      <c r="E27" s="1" t="s">
        <v>235</v>
      </c>
      <c r="F27" s="1" t="s">
        <v>236</v>
      </c>
      <c r="G27" s="1" t="s">
        <v>237</v>
      </c>
      <c r="H27" s="1" t="s">
        <v>238</v>
      </c>
      <c r="I27" s="1" t="s">
        <v>239</v>
      </c>
      <c r="J27" s="1" t="s">
        <v>347</v>
      </c>
      <c r="K27" s="1" t="s">
        <v>296</v>
      </c>
    </row>
    <row r="28" spans="1:11" ht="409.5" x14ac:dyDescent="0.25">
      <c r="A28" s="3" t="e">
        <f t="shared" si="0"/>
        <v>#REF!</v>
      </c>
      <c r="B28" s="1" t="s">
        <v>240</v>
      </c>
      <c r="C28" s="1" t="s">
        <v>241</v>
      </c>
      <c r="D28" s="1" t="s">
        <v>242</v>
      </c>
      <c r="E28" s="1" t="s">
        <v>243</v>
      </c>
      <c r="F28" s="1" t="s">
        <v>244</v>
      </c>
      <c r="G28" s="1" t="s">
        <v>245</v>
      </c>
      <c r="H28" s="1" t="s">
        <v>246</v>
      </c>
      <c r="I28" s="1" t="s">
        <v>247</v>
      </c>
      <c r="J28" s="1" t="s">
        <v>348</v>
      </c>
      <c r="K28" s="1" t="s">
        <v>296</v>
      </c>
    </row>
    <row r="29" spans="1:11" ht="409.5" x14ac:dyDescent="0.25">
      <c r="A29" s="3" t="e">
        <f t="shared" si="0"/>
        <v>#REF!</v>
      </c>
      <c r="B29" s="1" t="s">
        <v>248</v>
      </c>
      <c r="C29" s="1" t="s">
        <v>249</v>
      </c>
      <c r="D29" s="1" t="s">
        <v>250</v>
      </c>
      <c r="E29" s="1" t="s">
        <v>251</v>
      </c>
      <c r="F29" s="1" t="s">
        <v>252</v>
      </c>
      <c r="G29" s="1" t="s">
        <v>253</v>
      </c>
      <c r="H29" s="1" t="s">
        <v>254</v>
      </c>
      <c r="I29" s="1" t="s">
        <v>255</v>
      </c>
      <c r="J29" s="1" t="s">
        <v>349</v>
      </c>
      <c r="K29" s="1" t="s">
        <v>296</v>
      </c>
    </row>
    <row r="30" spans="1:11" ht="409.5" x14ac:dyDescent="0.25">
      <c r="A30" s="3" t="e">
        <f t="shared" si="0"/>
        <v>#REF!</v>
      </c>
      <c r="B30" s="1" t="s">
        <v>256</v>
      </c>
      <c r="C30" s="1" t="s">
        <v>257</v>
      </c>
      <c r="D30" s="1" t="s">
        <v>258</v>
      </c>
      <c r="E30" s="1" t="s">
        <v>259</v>
      </c>
      <c r="F30" s="1" t="s">
        <v>260</v>
      </c>
      <c r="G30" s="1" t="s">
        <v>261</v>
      </c>
      <c r="H30" s="1" t="s">
        <v>262</v>
      </c>
      <c r="I30" s="1" t="s">
        <v>263</v>
      </c>
      <c r="J30" s="1" t="s">
        <v>350</v>
      </c>
      <c r="K30" s="1" t="s">
        <v>296</v>
      </c>
    </row>
    <row r="31" spans="1:11" ht="409.5" x14ac:dyDescent="0.25">
      <c r="A31" s="3" t="e">
        <f t="shared" si="0"/>
        <v>#REF!</v>
      </c>
      <c r="B31" s="1" t="s">
        <v>264</v>
      </c>
      <c r="C31" s="1" t="s">
        <v>265</v>
      </c>
      <c r="D31" s="1" t="s">
        <v>266</v>
      </c>
      <c r="E31" s="1" t="s">
        <v>267</v>
      </c>
      <c r="F31" s="1" t="s">
        <v>268</v>
      </c>
      <c r="G31" s="1" t="s">
        <v>269</v>
      </c>
      <c r="H31" s="1" t="s">
        <v>270</v>
      </c>
      <c r="I31" s="1" t="s">
        <v>271</v>
      </c>
      <c r="J31" s="1" t="s">
        <v>351</v>
      </c>
      <c r="K31" s="1" t="s">
        <v>296</v>
      </c>
    </row>
    <row r="32" spans="1:11" ht="409.5" x14ac:dyDescent="0.25">
      <c r="A32" s="3" t="e">
        <f t="shared" si="0"/>
        <v>#REF!</v>
      </c>
      <c r="B32" s="1" t="s">
        <v>272</v>
      </c>
      <c r="C32" s="1" t="s">
        <v>273</v>
      </c>
      <c r="D32" s="1" t="s">
        <v>274</v>
      </c>
      <c r="E32" s="1" t="s">
        <v>275</v>
      </c>
      <c r="F32" s="1" t="s">
        <v>276</v>
      </c>
      <c r="G32" s="1" t="s">
        <v>277</v>
      </c>
      <c r="H32" s="1" t="s">
        <v>278</v>
      </c>
      <c r="I32" s="1" t="s">
        <v>279</v>
      </c>
      <c r="J32" s="1" t="s">
        <v>352</v>
      </c>
      <c r="K32" s="1"/>
    </row>
    <row r="33" spans="1:11" ht="195" x14ac:dyDescent="0.25">
      <c r="A33" s="3" t="e">
        <f t="shared" si="0"/>
        <v>#REF!</v>
      </c>
      <c r="B33" s="1" t="s">
        <v>280</v>
      </c>
      <c r="C33" s="1" t="s">
        <v>281</v>
      </c>
      <c r="D33" s="1" t="s">
        <v>282</v>
      </c>
      <c r="E33" s="1" t="s">
        <v>283</v>
      </c>
      <c r="F33" s="1" t="s">
        <v>284</v>
      </c>
      <c r="G33" s="1" t="s">
        <v>285</v>
      </c>
      <c r="H33" s="1" t="s">
        <v>286</v>
      </c>
      <c r="I33" s="1" t="s">
        <v>287</v>
      </c>
      <c r="J33" s="1" t="s">
        <v>353</v>
      </c>
      <c r="K33" s="1"/>
    </row>
    <row r="34" spans="1:11" ht="360" x14ac:dyDescent="0.25">
      <c r="A34" s="3" t="e">
        <f t="shared" si="0"/>
        <v>#REF!</v>
      </c>
      <c r="B34" s="1" t="s">
        <v>288</v>
      </c>
      <c r="C34" s="1" t="s">
        <v>289</v>
      </c>
      <c r="D34" s="1" t="s">
        <v>290</v>
      </c>
      <c r="E34" s="1" t="s">
        <v>291</v>
      </c>
      <c r="F34" s="1" t="s">
        <v>292</v>
      </c>
      <c r="G34" s="1" t="s">
        <v>293</v>
      </c>
      <c r="H34" s="1" t="s">
        <v>294</v>
      </c>
      <c r="I34" s="1" t="s">
        <v>295</v>
      </c>
      <c r="J34" s="1" t="s">
        <v>354</v>
      </c>
      <c r="K34" s="1"/>
    </row>
    <row r="35" spans="1:11" x14ac:dyDescent="0.25">
      <c r="A35" s="1"/>
      <c r="B35" s="1"/>
      <c r="C35" s="1"/>
      <c r="D35" s="1"/>
      <c r="E35" s="1"/>
      <c r="F35" s="1"/>
      <c r="G35" s="1"/>
      <c r="H35" s="1"/>
      <c r="I35" s="1"/>
      <c r="J35" s="1"/>
    </row>
    <row r="36" spans="1:11" x14ac:dyDescent="0.25">
      <c r="A36" s="1"/>
      <c r="B36" s="1"/>
      <c r="C36" s="1"/>
      <c r="D36" s="1"/>
      <c r="E36" s="1"/>
      <c r="F36" s="1"/>
      <c r="G36" s="1"/>
      <c r="H36" s="1"/>
      <c r="I36" s="1"/>
      <c r="J36" s="1"/>
    </row>
    <row r="37" spans="1:11" x14ac:dyDescent="0.25">
      <c r="A37" s="1"/>
      <c r="B37" s="1"/>
      <c r="C37" s="1"/>
      <c r="D37" s="1"/>
      <c r="E37" s="1"/>
      <c r="F37" s="1"/>
      <c r="G37" s="1"/>
      <c r="H37" s="1"/>
      <c r="I37" s="1"/>
      <c r="J37" s="1"/>
    </row>
    <row r="38" spans="1:11" x14ac:dyDescent="0.25">
      <c r="A38" s="1"/>
      <c r="B38" s="1"/>
      <c r="C38" s="1"/>
      <c r="D38" s="1"/>
      <c r="E38" s="1"/>
      <c r="F38" s="1"/>
      <c r="G38" s="1"/>
      <c r="H38" s="1"/>
      <c r="I38" s="1"/>
      <c r="J38" s="1"/>
    </row>
    <row r="39" spans="1:11" x14ac:dyDescent="0.25">
      <c r="A39" s="1"/>
      <c r="B39" s="1"/>
      <c r="C39" s="1"/>
      <c r="D39" s="1"/>
      <c r="E39" s="1"/>
      <c r="F39" s="1"/>
      <c r="G39" s="1"/>
      <c r="H39" s="1"/>
      <c r="I39" s="1"/>
      <c r="J39" s="1"/>
    </row>
    <row r="40" spans="1:11" x14ac:dyDescent="0.25">
      <c r="A40" s="1"/>
      <c r="B40" s="1"/>
      <c r="C40" s="1"/>
      <c r="D40" s="1"/>
      <c r="E40" s="1"/>
      <c r="F40" s="1"/>
      <c r="G40" s="1"/>
      <c r="H40" s="1"/>
      <c r="I40" s="1"/>
      <c r="J40" s="1"/>
    </row>
    <row r="41" spans="1:11" x14ac:dyDescent="0.25">
      <c r="A41" s="1"/>
      <c r="B41" s="1"/>
      <c r="C41" s="1"/>
      <c r="D41" s="1"/>
      <c r="E41" s="1"/>
      <c r="F41" s="1"/>
      <c r="G41" s="1"/>
      <c r="H41" s="1"/>
      <c r="I41" s="1"/>
      <c r="J41" s="1"/>
    </row>
    <row r="42" spans="1:11" x14ac:dyDescent="0.25">
      <c r="A42" s="1"/>
      <c r="B42" s="1"/>
      <c r="C42" s="1"/>
      <c r="D42" s="1"/>
      <c r="E42" s="1"/>
      <c r="F42" s="1"/>
      <c r="G42" s="1"/>
      <c r="H42" s="1"/>
      <c r="I42" s="1"/>
      <c r="J42" s="1"/>
    </row>
    <row r="43" spans="1:11" x14ac:dyDescent="0.25">
      <c r="A43" s="1"/>
      <c r="B43" s="1"/>
      <c r="C43" s="1"/>
      <c r="D43" s="1"/>
      <c r="E43" s="1"/>
      <c r="F43" s="1"/>
      <c r="G43" s="1"/>
      <c r="H43" s="1"/>
      <c r="I43" s="1"/>
      <c r="J43" s="1"/>
    </row>
    <row r="44" spans="1:11" x14ac:dyDescent="0.25">
      <c r="A44" s="1"/>
      <c r="B44" s="1"/>
      <c r="C44" s="1"/>
      <c r="D44" s="1"/>
      <c r="E44" s="1"/>
      <c r="F44" s="1"/>
      <c r="G44" s="1"/>
      <c r="H44" s="1"/>
      <c r="I44" s="1"/>
      <c r="J44" s="1"/>
    </row>
    <row r="45" spans="1:11" x14ac:dyDescent="0.25">
      <c r="A45" s="1"/>
      <c r="B45" s="1"/>
      <c r="C45" s="1"/>
      <c r="D45" s="1"/>
      <c r="E45" s="1"/>
      <c r="F45" s="1"/>
      <c r="G45" s="1"/>
      <c r="H45" s="1"/>
      <c r="I45" s="1"/>
      <c r="J45" s="1"/>
    </row>
    <row r="46" spans="1:11" x14ac:dyDescent="0.25">
      <c r="A46" s="1"/>
      <c r="B46" s="1"/>
      <c r="C46" s="1"/>
      <c r="D46" s="1"/>
      <c r="E46" s="1"/>
      <c r="F46" s="1"/>
      <c r="G46" s="1"/>
      <c r="H46" s="1"/>
      <c r="I46" s="1"/>
      <c r="J46" s="1"/>
    </row>
    <row r="47" spans="1:11" x14ac:dyDescent="0.25">
      <c r="A47" s="1"/>
      <c r="B47" s="1"/>
      <c r="C47" s="1"/>
      <c r="D47" s="1"/>
      <c r="E47" s="1"/>
      <c r="F47" s="1"/>
      <c r="G47" s="1"/>
      <c r="H47" s="1"/>
      <c r="I47" s="1"/>
      <c r="J47"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05E9-16C5-408A-8F9F-913AE52C1702}">
  <dimension ref="A1:J6"/>
  <sheetViews>
    <sheetView workbookViewId="0">
      <selection activeCell="B7" sqref="B7"/>
    </sheetView>
  </sheetViews>
  <sheetFormatPr defaultRowHeight="15" x14ac:dyDescent="0.25"/>
  <cols>
    <col min="1" max="1" width="6.5703125" bestFit="1" customWidth="1"/>
    <col min="2" max="2" width="12.5703125" bestFit="1" customWidth="1"/>
    <col min="3" max="3" width="9.7109375" bestFit="1" customWidth="1"/>
    <col min="4" max="4" width="12.7109375" bestFit="1" customWidth="1"/>
    <col min="5" max="5" width="10.28515625" bestFit="1" customWidth="1"/>
    <col min="6" max="6" width="12.42578125" bestFit="1" customWidth="1"/>
    <col min="7" max="7" width="17.85546875" bestFit="1" customWidth="1"/>
    <col min="8" max="8" width="15.42578125" bestFit="1" customWidth="1"/>
    <col min="9" max="9" width="14.7109375" bestFit="1" customWidth="1"/>
    <col min="10" max="10" width="12.5703125" bestFit="1" customWidth="1"/>
  </cols>
  <sheetData>
    <row r="1" spans="1:10" x14ac:dyDescent="0.25">
      <c r="A1" s="5" t="s">
        <v>0</v>
      </c>
      <c r="B1" s="5" t="s">
        <v>1</v>
      </c>
      <c r="C1" s="5" t="s">
        <v>2</v>
      </c>
      <c r="D1" s="5" t="s">
        <v>3</v>
      </c>
      <c r="E1" s="5" t="s">
        <v>4</v>
      </c>
      <c r="F1" s="5" t="s">
        <v>5</v>
      </c>
      <c r="G1" s="5" t="s">
        <v>6</v>
      </c>
      <c r="H1" s="5" t="s">
        <v>7</v>
      </c>
      <c r="I1" s="5" t="s">
        <v>10</v>
      </c>
      <c r="J1" s="5" t="s">
        <v>9</v>
      </c>
    </row>
    <row r="2" spans="1:10" ht="195" x14ac:dyDescent="0.25">
      <c r="A2" s="1">
        <v>1</v>
      </c>
      <c r="B2" s="2" t="s">
        <v>11</v>
      </c>
      <c r="C2" s="1" t="s">
        <v>12</v>
      </c>
      <c r="D2" s="1" t="s">
        <v>13</v>
      </c>
      <c r="E2" s="1" t="s">
        <v>14</v>
      </c>
      <c r="F2" s="1" t="s">
        <v>15</v>
      </c>
      <c r="G2" s="1" t="s">
        <v>16</v>
      </c>
      <c r="H2" s="1" t="s">
        <v>17</v>
      </c>
      <c r="I2" s="1" t="s">
        <v>18</v>
      </c>
      <c r="J2" s="1" t="s">
        <v>19</v>
      </c>
    </row>
    <row r="3" spans="1:10" ht="210" x14ac:dyDescent="0.25">
      <c r="A3" s="1">
        <v>2</v>
      </c>
      <c r="B3" s="2" t="s">
        <v>20</v>
      </c>
      <c r="C3" s="1" t="s">
        <v>21</v>
      </c>
      <c r="D3" s="1" t="s">
        <v>22</v>
      </c>
      <c r="E3" s="1" t="s">
        <v>23</v>
      </c>
      <c r="F3" s="1" t="s">
        <v>24</v>
      </c>
      <c r="G3" s="1" t="s">
        <v>25</v>
      </c>
      <c r="H3" s="1" t="s">
        <v>26</v>
      </c>
      <c r="I3" s="1" t="s">
        <v>27</v>
      </c>
      <c r="J3" s="1" t="s">
        <v>28</v>
      </c>
    </row>
    <row r="4" spans="1:10" ht="195" x14ac:dyDescent="0.25">
      <c r="A4" s="1">
        <v>3</v>
      </c>
      <c r="B4" s="2" t="s">
        <v>29</v>
      </c>
      <c r="C4" s="1" t="s">
        <v>30</v>
      </c>
      <c r="D4" s="1" t="s">
        <v>31</v>
      </c>
      <c r="E4" s="1" t="s">
        <v>32</v>
      </c>
      <c r="F4" s="1" t="s">
        <v>33</v>
      </c>
      <c r="G4" s="1" t="s">
        <v>34</v>
      </c>
      <c r="H4" s="1" t="s">
        <v>35</v>
      </c>
      <c r="I4" s="1" t="s">
        <v>36</v>
      </c>
      <c r="J4" s="1" t="s">
        <v>37</v>
      </c>
    </row>
    <row r="5" spans="1:10" ht="165" x14ac:dyDescent="0.25">
      <c r="A5" s="1">
        <v>4</v>
      </c>
      <c r="B5" s="2" t="s">
        <v>38</v>
      </c>
      <c r="C5" s="1" t="s">
        <v>39</v>
      </c>
      <c r="D5" s="1" t="s">
        <v>40</v>
      </c>
      <c r="E5" s="1" t="s">
        <v>41</v>
      </c>
      <c r="F5" s="1" t="s">
        <v>33</v>
      </c>
      <c r="G5" s="1" t="s">
        <v>42</v>
      </c>
      <c r="H5" s="1" t="s">
        <v>43</v>
      </c>
      <c r="I5" s="1" t="s">
        <v>44</v>
      </c>
      <c r="J5" s="1" t="s">
        <v>45</v>
      </c>
    </row>
    <row r="6" spans="1:10" ht="150" x14ac:dyDescent="0.25">
      <c r="A6" s="1">
        <v>5</v>
      </c>
      <c r="B6" s="2" t="s">
        <v>46</v>
      </c>
      <c r="C6" s="1" t="s">
        <v>47</v>
      </c>
      <c r="D6" s="1" t="s">
        <v>48</v>
      </c>
      <c r="E6" s="1" t="s">
        <v>49</v>
      </c>
      <c r="F6" s="1" t="s">
        <v>50</v>
      </c>
      <c r="G6" s="1" t="s">
        <v>51</v>
      </c>
      <c r="H6" s="1" t="s">
        <v>52</v>
      </c>
      <c r="I6" s="1" t="s">
        <v>53</v>
      </c>
      <c r="J6" s="1"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Senousy</dc:creator>
  <cp:lastModifiedBy>Youssef Senousy</cp:lastModifiedBy>
  <dcterms:created xsi:type="dcterms:W3CDTF">2015-06-05T18:17:20Z</dcterms:created>
  <dcterms:modified xsi:type="dcterms:W3CDTF">2025-08-12T16:23:12Z</dcterms:modified>
</cp:coreProperties>
</file>